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9040" windowHeight="15840"/>
  </bookViews>
  <sheets>
    <sheet name="Result" sheetId="4" r:id="rId1"/>
    <sheet name="Raw" sheetId="5" r:id="rId2"/>
  </sheets>
  <externalReferences>
    <externalReference r:id="rId3"/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5" l="1"/>
  <c r="D8" i="5"/>
  <c r="D7" i="5"/>
  <c r="D6" i="5"/>
  <c r="D5" i="5"/>
  <c r="D4" i="5"/>
  <c r="D3" i="5"/>
  <c r="D2" i="5"/>
</calcChain>
</file>

<file path=xl/sharedStrings.xml><?xml version="1.0" encoding="utf-8"?>
<sst xmlns="http://schemas.openxmlformats.org/spreadsheetml/2006/main" count="25" uniqueCount="24">
  <si>
    <t>Selectivity</t>
    <phoneticPr fontId="1" type="noConversion"/>
  </si>
  <si>
    <t>1.72x</t>
  </si>
  <si>
    <t>1.65x</t>
  </si>
  <si>
    <t>1.24x</t>
  </si>
  <si>
    <t>1.07x</t>
  </si>
  <si>
    <t>0.93x</t>
  </si>
  <si>
    <t>0.8x</t>
  </si>
  <si>
    <t>0.6x</t>
  </si>
  <si>
    <t>1.4x</t>
  </si>
  <si>
    <t>Our solution</t>
    <phoneticPr fontId="1" type="noConversion"/>
  </si>
  <si>
    <t>Query Time</t>
    <phoneticPr fontId="1" type="noConversion"/>
  </si>
  <si>
    <t>2.26x
(343ms)</t>
    <phoneticPr fontId="1" type="noConversion"/>
  </si>
  <si>
    <t>2.05x
(382ms)</t>
    <phoneticPr fontId="1" type="noConversion"/>
  </si>
  <si>
    <t>1.58x
(536ms)</t>
    <phoneticPr fontId="1" type="noConversion"/>
  </si>
  <si>
    <t>1.30x
(662ms)</t>
    <phoneticPr fontId="1" type="noConversion"/>
  </si>
  <si>
    <t>1.24x
(713ms)</t>
    <phoneticPr fontId="1" type="noConversion"/>
  </si>
  <si>
    <t>1.15x
(780ms)</t>
    <phoneticPr fontId="1" type="noConversion"/>
  </si>
  <si>
    <t>1.10x
(879ms)</t>
    <phoneticPr fontId="1" type="noConversion"/>
  </si>
  <si>
    <t>0.94x
(1093ms)</t>
    <phoneticPr fontId="1" type="noConversion"/>
  </si>
  <si>
    <t>System Proposed by Sun et al.</t>
    <phoneticPr fontId="1" type="noConversion"/>
  </si>
  <si>
    <t>CPU Query Time (ms)</t>
    <phoneticPr fontId="1" type="noConversion"/>
  </si>
  <si>
    <t>FPGA End-to-End Query Time (ms)</t>
    <phoneticPr fontId="1" type="noConversion"/>
  </si>
  <si>
    <t>Speedup Ratio
Proposed by Our Solution</t>
    <phoneticPr fontId="1" type="noConversion"/>
  </si>
  <si>
    <t xml:space="preserve"> Speedup Ratio
Proposed by Sun et al.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</si>
</sst>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0030062264642"/>
          <c:y val="6.0241308514454098E-2"/>
          <c:w val="0.88203204795191381"/>
          <c:h val="0.809397594249906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Result!$B$1</c:f>
              <c:strCache>
                <c:ptCount val="1"/>
                <c:pt idx="0">
                  <c:v>System Proposed by Sun et al.</c:v>
                </c:pt>
              </c:strCache>
            </c:strRef>
          </c:tx>
          <c:spPr>
            <a:pattFill prst="dash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dash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36-4A70-BE5A-EDC169B209D4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A9D8581D-9EF9-427B-8C91-B016D6F26BC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B36-4A70-BE5A-EDC169B209D4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FBFF5043-D25D-4F42-961C-A602EA4F751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B36-4A70-BE5A-EDC169B209D4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50B9B267-4715-4E6D-8D13-2750F2929E5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B36-4A70-BE5A-EDC169B209D4}"/>
                </c:ext>
              </c:extLst>
            </c:dLbl>
            <c:dLbl>
              <c:idx val="3"/>
              <c:layout>
                <c:manualLayout>
                  <c:x val="-7.6029723830509195E-3"/>
                  <c:y val="9.1936482749060099E-3"/>
                </c:manualLayout>
              </c:layout>
              <c:tx>
                <c:rich>
                  <a:bodyPr/>
                  <a:lstStyle/>
                  <a:p>
                    <a:fld id="{0547D5DE-0AFF-41B7-9AA2-9D995EBCA5E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B36-4A70-BE5A-EDC169B209D4}"/>
                </c:ext>
              </c:extLst>
            </c:dLbl>
            <c:dLbl>
              <c:idx val="4"/>
              <c:layout>
                <c:manualLayout>
                  <c:x val="-7.6092785265560823E-3"/>
                  <c:y val="0"/>
                </c:manualLayout>
              </c:layout>
              <c:tx>
                <c:rich>
                  <a:bodyPr/>
                  <a:lstStyle/>
                  <a:p>
                    <a:fld id="{1E8049E7-B5FD-49E3-80C3-9AC990CA43F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B36-4A70-BE5A-EDC169B209D4}"/>
                </c:ext>
              </c:extLst>
            </c:dLbl>
            <c:dLbl>
              <c:idx val="5"/>
              <c:layout>
                <c:manualLayout>
                  <c:x val="-1.0145704702074777E-2"/>
                  <c:y val="0"/>
                </c:manualLayout>
              </c:layout>
              <c:tx>
                <c:rich>
                  <a:bodyPr/>
                  <a:lstStyle/>
                  <a:p>
                    <a:fld id="{AE244E77-587C-43A5-8995-84FC999FA6E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B36-4A70-BE5A-EDC169B209D4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59495904-00A2-4BE2-BA88-B0AE10341AF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B36-4A70-BE5A-EDC169B209D4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8A5A924A-A65A-4A86-9D70-50D1A4F36D1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B36-4A70-BE5A-EDC169B209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Result!$A$2:$A$9</c:f>
              <c:numCache>
                <c:formatCode>0%</c:formatCode>
                <c:ptCount val="8"/>
                <c:pt idx="0" formatCode="0.00%">
                  <c:v>2E-3</c:v>
                </c:pt>
                <c:pt idx="1">
                  <c:v>0.02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0.8</c:v>
                </c:pt>
              </c:numCache>
            </c:numRef>
          </c:cat>
          <c:val>
            <c:numRef>
              <c:f>Result!$B$2:$B$9</c:f>
              <c:numCache>
                <c:formatCode>General</c:formatCode>
                <c:ptCount val="8"/>
                <c:pt idx="0">
                  <c:v>1.72</c:v>
                </c:pt>
                <c:pt idx="1">
                  <c:v>1.65</c:v>
                </c:pt>
                <c:pt idx="2">
                  <c:v>1.4</c:v>
                </c:pt>
                <c:pt idx="3">
                  <c:v>1.24</c:v>
                </c:pt>
                <c:pt idx="4">
                  <c:v>1.07</c:v>
                </c:pt>
                <c:pt idx="5">
                  <c:v>0.93</c:v>
                </c:pt>
                <c:pt idx="6">
                  <c:v>0.8</c:v>
                </c:pt>
                <c:pt idx="7">
                  <c:v>0.6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Result!$D$2:$D$9</c15:f>
                <c15:dlblRangeCache>
                  <c:ptCount val="8"/>
                  <c:pt idx="0">
                    <c:v>1.72x</c:v>
                  </c:pt>
                  <c:pt idx="1">
                    <c:v>1.65x</c:v>
                  </c:pt>
                  <c:pt idx="2">
                    <c:v>1.4x</c:v>
                  </c:pt>
                  <c:pt idx="3">
                    <c:v>1.24x</c:v>
                  </c:pt>
                  <c:pt idx="4">
                    <c:v>1.07x</c:v>
                  </c:pt>
                  <c:pt idx="5">
                    <c:v>0.93x</c:v>
                  </c:pt>
                  <c:pt idx="6">
                    <c:v>0.8x</c:v>
                  </c:pt>
                  <c:pt idx="7">
                    <c:v>0.6x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B36-4A70-BE5A-EDC169B209D4}"/>
            </c:ext>
          </c:extLst>
        </c:ser>
        <c:ser>
          <c:idx val="1"/>
          <c:order val="1"/>
          <c:tx>
            <c:v>Our Solution</c:v>
          </c:tx>
          <c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3937613631790928E-2"/>
                </c:manualLayout>
              </c:layout>
              <c:tx>
                <c:rich>
                  <a:bodyPr/>
                  <a:lstStyle/>
                  <a:p>
                    <a:fld id="{171E511D-9F61-4D2A-8F32-122DA8E6CF9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B36-4A70-BE5A-EDC169B209D4}"/>
                </c:ext>
              </c:extLst>
            </c:dLbl>
            <c:dLbl>
              <c:idx val="1"/>
              <c:layout>
                <c:manualLayout>
                  <c:x val="0"/>
                  <c:y val="9.2917424211939516E-3"/>
                </c:manualLayout>
              </c:layout>
              <c:tx>
                <c:rich>
                  <a:bodyPr/>
                  <a:lstStyle/>
                  <a:p>
                    <a:fld id="{3402C641-EEDE-4C6E-AC28-166CC19104B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B36-4A70-BE5A-EDC169B209D4}"/>
                </c:ext>
              </c:extLst>
            </c:dLbl>
            <c:dLbl>
              <c:idx val="2"/>
              <c:layout>
                <c:manualLayout>
                  <c:x val="-4.6462072273709725E-17"/>
                  <c:y val="9.1936482749060099E-3"/>
                </c:manualLayout>
              </c:layout>
              <c:tx>
                <c:rich>
                  <a:bodyPr/>
                  <a:lstStyle/>
                  <a:p>
                    <a:fld id="{B4390947-1EC2-438E-B8AD-4983C665F53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B36-4A70-BE5A-EDC169B209D4}"/>
                </c:ext>
              </c:extLst>
            </c:dLbl>
            <c:dLbl>
              <c:idx val="3"/>
              <c:layout>
                <c:manualLayout>
                  <c:x val="1.0144879527809517E-2"/>
                  <c:y val="-4.7825068762336288E-3"/>
                </c:manualLayout>
              </c:layout>
              <c:tx>
                <c:rich>
                  <a:bodyPr/>
                  <a:lstStyle/>
                  <a:p>
                    <a:fld id="{0B60D1C4-1F91-4CF9-B6DF-FF15311CCEF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B36-4A70-BE5A-EDC169B209D4}"/>
                </c:ext>
              </c:extLst>
            </c:dLbl>
            <c:dLbl>
              <c:idx val="4"/>
              <c:layout>
                <c:manualLayout>
                  <c:x val="0"/>
                  <c:y val="9.255534372285202E-3"/>
                </c:manualLayout>
              </c:layout>
              <c:tx>
                <c:rich>
                  <a:bodyPr/>
                  <a:lstStyle/>
                  <a:p>
                    <a:fld id="{85633EA0-C915-4A39-93AE-7A86B48A0FC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9B36-4A70-BE5A-EDC169B209D4}"/>
                </c:ext>
              </c:extLst>
            </c:dLbl>
            <c:dLbl>
              <c:idx val="5"/>
              <c:layout>
                <c:manualLayout>
                  <c:x val="0"/>
                  <c:y val="1.388330155842793E-2"/>
                </c:manualLayout>
              </c:layout>
              <c:tx>
                <c:rich>
                  <a:bodyPr/>
                  <a:lstStyle/>
                  <a:p>
                    <a:fld id="{66D957F8-8177-4C6B-80CD-9B48C6788ED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9B36-4A70-BE5A-EDC169B209D4}"/>
                </c:ext>
              </c:extLst>
            </c:dLbl>
            <c:dLbl>
              <c:idx val="6"/>
              <c:layout>
                <c:manualLayout>
                  <c:x val="0"/>
                  <c:y val="9.255534372285287E-3"/>
                </c:manualLayout>
              </c:layout>
              <c:tx>
                <c:rich>
                  <a:bodyPr/>
                  <a:lstStyle/>
                  <a:p>
                    <a:fld id="{32E29E81-3114-43AE-A6FF-C446AACD9E2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9B36-4A70-BE5A-EDC169B209D4}"/>
                </c:ext>
              </c:extLst>
            </c:dLbl>
            <c:dLbl>
              <c:idx val="7"/>
              <c:layout>
                <c:manualLayout>
                  <c:x val="0"/>
                  <c:y val="1.832393029548059E-2"/>
                </c:manualLayout>
              </c:layout>
              <c:tx>
                <c:rich>
                  <a:bodyPr/>
                  <a:lstStyle/>
                  <a:p>
                    <a:fld id="{AF389C45-2A91-49AA-AA70-2D24AB38093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9B36-4A70-BE5A-EDC169B209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cat>
            <c:numRef>
              <c:f>Result!$A$2:$A$9</c:f>
              <c:numCache>
                <c:formatCode>0%</c:formatCode>
                <c:ptCount val="8"/>
                <c:pt idx="0" formatCode="0.00%">
                  <c:v>2E-3</c:v>
                </c:pt>
                <c:pt idx="1">
                  <c:v>0.02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0.8</c:v>
                </c:pt>
              </c:numCache>
            </c:numRef>
          </c:cat>
          <c:val>
            <c:numRef>
              <c:f>Result!$C$2:$C$9</c:f>
              <c:numCache>
                <c:formatCode>0.00</c:formatCode>
                <c:ptCount val="8"/>
                <c:pt idx="0">
                  <c:v>2.2631962034529942</c:v>
                </c:pt>
                <c:pt idx="1">
                  <c:v>2.0493106966280377</c:v>
                </c:pt>
                <c:pt idx="2">
                  <c:v>1.5842598119683629</c:v>
                </c:pt>
                <c:pt idx="3">
                  <c:v>1.3026164896185417</c:v>
                </c:pt>
                <c:pt idx="4">
                  <c:v>1.2398025716168657</c:v>
                </c:pt>
                <c:pt idx="5">
                  <c:v>1.1527592744414838</c:v>
                </c:pt>
                <c:pt idx="6">
                  <c:v>1.0986427808216064</c:v>
                </c:pt>
                <c:pt idx="7">
                  <c:v>0.93880816744543316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Result!$E$2:$E$9</c15:f>
                <c15:dlblRangeCache>
                  <c:ptCount val="8"/>
                  <c:pt idx="0">
                    <c:v>2.26x
(343ms)</c:v>
                  </c:pt>
                  <c:pt idx="1">
                    <c:v>2.05x
(382ms)</c:v>
                  </c:pt>
                  <c:pt idx="2">
                    <c:v>1.58x
(536ms)</c:v>
                  </c:pt>
                  <c:pt idx="3">
                    <c:v>1.30x
(662ms)</c:v>
                  </c:pt>
                  <c:pt idx="4">
                    <c:v>1.24x
(713ms)</c:v>
                  </c:pt>
                  <c:pt idx="5">
                    <c:v>1.15x
(780ms)</c:v>
                  </c:pt>
                  <c:pt idx="6">
                    <c:v>1.10x
(879ms)</c:v>
                  </c:pt>
                  <c:pt idx="7">
                    <c:v>0.94x
(1093ms)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B36-4A70-BE5A-EDC169B209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4401200"/>
        <c:axId val="332828400"/>
      </c:barChart>
      <c:catAx>
        <c:axId val="414401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Selectivity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2828400"/>
        <c:crosses val="autoZero"/>
        <c:auto val="1"/>
        <c:lblAlgn val="ctr"/>
        <c:lblOffset val="100"/>
        <c:noMultiLvlLbl val="0"/>
      </c:catAx>
      <c:valAx>
        <c:axId val="332828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>
                    <a:effectLst/>
                  </a:rPr>
                  <a:t>Speedup Ratio</a:t>
                </a:r>
                <a:endParaRPr lang="zh-CN" altLang="zh-CN" sz="1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440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45089517571434162"/>
          <c:y val="4.5491490891225736E-3"/>
          <c:w val="0.54505115659184578"/>
          <c:h val="0.2530977568928895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[2]cpu_vs_fpga!$E$1</c:f>
              <c:strCache>
                <c:ptCount val="1"/>
                <c:pt idx="0">
                  <c:v> Speedup Ratio
Proposed by Sun et al.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[2]cpu_vs_fpga!$A$2:$A$9</c15:sqref>
                  </c15:fullRef>
                </c:ext>
              </c:extLst>
              <c:f>[2]cpu_vs_fpga!$A$3:$A$9</c:f>
              <c:numCache>
                <c:formatCode>0%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[2]cpu_vs_fpga!$E$2:$E$9</c15:sqref>
                  </c15:fullRef>
                </c:ext>
              </c:extLst>
              <c:f>[2]cpu_vs_fpga!$E$3:$E$9</c:f>
              <c:numCache>
                <c:formatCode>General</c:formatCode>
                <c:ptCount val="7"/>
                <c:pt idx="0">
                  <c:v>1.65</c:v>
                </c:pt>
                <c:pt idx="1">
                  <c:v>1.4</c:v>
                </c:pt>
                <c:pt idx="2">
                  <c:v>1.24</c:v>
                </c:pt>
                <c:pt idx="3">
                  <c:v>1.07</c:v>
                </c:pt>
                <c:pt idx="4">
                  <c:v>0.93</c:v>
                </c:pt>
                <c:pt idx="5">
                  <c:v>0.8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E-49E1-9ED6-35DD0DFB8486}"/>
            </c:ext>
          </c:extLst>
        </c:ser>
        <c:ser>
          <c:idx val="0"/>
          <c:order val="1"/>
          <c:tx>
            <c:strRef>
              <c:f>[2]cpu_vs_fpga!$D$1</c:f>
              <c:strCache>
                <c:ptCount val="1"/>
                <c:pt idx="0">
                  <c:v>Speedup Ratio
Proposed by Our Solution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[2]cpu_vs_fpga!$A$2:$A$9</c15:sqref>
                  </c15:fullRef>
                </c:ext>
              </c:extLst>
              <c:f>[2]cpu_vs_fpga!$A$3:$A$9</c:f>
              <c:numCache>
                <c:formatCode>0%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[2]cpu_vs_fpga!$D$2:$D$9</c15:sqref>
                  </c15:fullRef>
                </c:ext>
              </c:extLst>
              <c:f>[2]cpu_vs_fpga!$D$3:$D$9</c:f>
              <c:numCache>
                <c:formatCode>0.00</c:formatCode>
                <c:ptCount val="7"/>
                <c:pt idx="0">
                  <c:v>2.0493106966280377</c:v>
                </c:pt>
                <c:pt idx="1">
                  <c:v>1.5842598119683629</c:v>
                </c:pt>
                <c:pt idx="2">
                  <c:v>1.3026164896185417</c:v>
                </c:pt>
                <c:pt idx="3">
                  <c:v>1.2398025716168657</c:v>
                </c:pt>
                <c:pt idx="4">
                  <c:v>1.1527592744414838</c:v>
                </c:pt>
                <c:pt idx="5">
                  <c:v>1.0986427808216064</c:v>
                </c:pt>
                <c:pt idx="6">
                  <c:v>0.93880816744543316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1E-49E1-9ED6-35DD0DFB84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4866464"/>
        <c:axId val="1744868960"/>
      </c:barChart>
      <c:catAx>
        <c:axId val="174486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Selectivity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4868960"/>
        <c:crosses val="autoZero"/>
        <c:auto val="1"/>
        <c:lblAlgn val="ctr"/>
        <c:lblOffset val="100"/>
        <c:noMultiLvlLbl val="0"/>
      </c:catAx>
      <c:valAx>
        <c:axId val="174486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Speedup Ratio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486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</xdr:colOff>
      <xdr:row>10</xdr:row>
      <xdr:rowOff>164164</xdr:rowOff>
    </xdr:from>
    <xdr:to>
      <xdr:col>6</xdr:col>
      <xdr:colOff>156882</xdr:colOff>
      <xdr:row>28</xdr:row>
      <xdr:rowOff>74705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836707</xdr:colOff>
      <xdr:row>9</xdr:row>
      <xdr:rowOff>171824</xdr:rowOff>
    </xdr:from>
    <xdr:to>
      <xdr:col>4</xdr:col>
      <xdr:colOff>44823</xdr:colOff>
      <xdr:row>25</xdr:row>
      <xdr:rowOff>119530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pu_vs_fpg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liuke/gitee/hlsdb-pg_seqscan_offload/test/experiment-raw-data/06-various-selectivity/1core/selectivity-1co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uke\gitee\hlsdb-pg_seqscan_offload\test\experiment-raw-data\06-various-selectivity\1core\selectivity-1co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u_vs_fpg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u_vs_fpga"/>
      <sheetName val="Compare to Other work"/>
    </sheetNames>
    <sheetDataSet>
      <sheetData sheetId="0">
        <row r="1">
          <cell r="D1" t="str">
            <v>Speedup Ratio
Proposed by Our Solution</v>
          </cell>
          <cell r="E1" t="str">
            <v xml:space="preserve"> Speedup Ratio
Proposed by Sun et al.</v>
          </cell>
        </row>
        <row r="2">
          <cell r="A2">
            <v>2E-3</v>
          </cell>
          <cell r="D2">
            <v>2.2631962034529942</v>
          </cell>
          <cell r="E2">
            <v>1.72</v>
          </cell>
        </row>
        <row r="3">
          <cell r="A3">
            <v>0.02</v>
          </cell>
          <cell r="D3">
            <v>2.0493106966280377</v>
          </cell>
          <cell r="E3">
            <v>1.65</v>
          </cell>
        </row>
        <row r="4">
          <cell r="A4">
            <v>0.1</v>
          </cell>
          <cell r="D4">
            <v>1.5842598119683629</v>
          </cell>
          <cell r="E4">
            <v>1.4</v>
          </cell>
        </row>
        <row r="5">
          <cell r="A5">
            <v>0.2</v>
          </cell>
          <cell r="D5">
            <v>1.3026164896185417</v>
          </cell>
          <cell r="E5">
            <v>1.24</v>
          </cell>
        </row>
        <row r="6">
          <cell r="A6">
            <v>0.3</v>
          </cell>
          <cell r="D6">
            <v>1.2398025716168657</v>
          </cell>
          <cell r="E6">
            <v>1.07</v>
          </cell>
        </row>
        <row r="7">
          <cell r="A7">
            <v>0.4</v>
          </cell>
          <cell r="D7">
            <v>1.1527592744414838</v>
          </cell>
          <cell r="E7">
            <v>0.93</v>
          </cell>
        </row>
        <row r="8">
          <cell r="A8">
            <v>0.5</v>
          </cell>
          <cell r="D8">
            <v>1.0986427808216064</v>
          </cell>
          <cell r="E8">
            <v>0.8</v>
          </cell>
        </row>
        <row r="9">
          <cell r="A9">
            <v>0.8</v>
          </cell>
          <cell r="D9">
            <v>0.93880816744543316</v>
          </cell>
          <cell r="E9">
            <v>0.6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u_vs_fpg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85" zoomScaleNormal="85" workbookViewId="0">
      <selection activeCell="K19" sqref="K19"/>
    </sheetView>
  </sheetViews>
  <sheetFormatPr defaultRowHeight="14" x14ac:dyDescent="0.3"/>
  <cols>
    <col min="1" max="1" width="8.6640625" style="1"/>
    <col min="2" max="2" width="26.08203125" style="1" bestFit="1" customWidth="1"/>
    <col min="3" max="3" width="11.08203125" style="1" bestFit="1" customWidth="1"/>
    <col min="5" max="5" width="11.9140625" bestFit="1" customWidth="1"/>
    <col min="6" max="6" width="11.25" customWidth="1"/>
  </cols>
  <sheetData>
    <row r="1" spans="1:6" x14ac:dyDescent="0.3">
      <c r="A1" s="1" t="s">
        <v>0</v>
      </c>
      <c r="B1" s="1" t="s">
        <v>19</v>
      </c>
      <c r="C1" s="1" t="s">
        <v>9</v>
      </c>
      <c r="F1" s="1" t="s">
        <v>10</v>
      </c>
    </row>
    <row r="2" spans="1:6" ht="28" x14ac:dyDescent="0.3">
      <c r="A2" s="2">
        <v>2E-3</v>
      </c>
      <c r="B2" s="1">
        <v>1.72</v>
      </c>
      <c r="C2" s="4">
        <v>2.2631962034529942</v>
      </c>
      <c r="D2" t="s">
        <v>1</v>
      </c>
      <c r="E2" s="5" t="s">
        <v>11</v>
      </c>
      <c r="F2">
        <v>343.47</v>
      </c>
    </row>
    <row r="3" spans="1:6" ht="28" x14ac:dyDescent="0.3">
      <c r="A3" s="3">
        <v>0.02</v>
      </c>
      <c r="B3" s="1">
        <v>1.65</v>
      </c>
      <c r="C3" s="4">
        <v>2.0493106966280377</v>
      </c>
      <c r="D3" t="s">
        <v>2</v>
      </c>
      <c r="E3" s="5" t="s">
        <v>12</v>
      </c>
      <c r="F3">
        <v>382.27</v>
      </c>
    </row>
    <row r="4" spans="1:6" ht="28" x14ac:dyDescent="0.3">
      <c r="A4" s="3">
        <v>0.1</v>
      </c>
      <c r="B4" s="1">
        <v>1.4</v>
      </c>
      <c r="C4" s="4">
        <v>1.5842598119683629</v>
      </c>
      <c r="D4" t="s">
        <v>8</v>
      </c>
      <c r="E4" s="5" t="s">
        <v>13</v>
      </c>
      <c r="F4">
        <v>536.08000000000004</v>
      </c>
    </row>
    <row r="5" spans="1:6" ht="28" x14ac:dyDescent="0.3">
      <c r="A5" s="3">
        <v>0.2</v>
      </c>
      <c r="B5" s="1">
        <v>1.24</v>
      </c>
      <c r="C5" s="4">
        <v>1.3026164896185417</v>
      </c>
      <c r="D5" t="s">
        <v>3</v>
      </c>
      <c r="E5" s="5" t="s">
        <v>14</v>
      </c>
      <c r="F5">
        <v>662.72</v>
      </c>
    </row>
    <row r="6" spans="1:6" ht="28" x14ac:dyDescent="0.3">
      <c r="A6" s="3">
        <v>0.3</v>
      </c>
      <c r="B6" s="1">
        <v>1.07</v>
      </c>
      <c r="C6" s="4">
        <v>1.2398025716168657</v>
      </c>
      <c r="D6" t="s">
        <v>4</v>
      </c>
      <c r="E6" s="5" t="s">
        <v>15</v>
      </c>
      <c r="F6">
        <v>713.17</v>
      </c>
    </row>
    <row r="7" spans="1:6" ht="28" x14ac:dyDescent="0.3">
      <c r="A7" s="3">
        <v>0.4</v>
      </c>
      <c r="B7" s="1">
        <v>0.93</v>
      </c>
      <c r="C7" s="4">
        <v>1.1527592744414838</v>
      </c>
      <c r="D7" t="s">
        <v>5</v>
      </c>
      <c r="E7" s="5" t="s">
        <v>16</v>
      </c>
      <c r="F7">
        <v>780.64</v>
      </c>
    </row>
    <row r="8" spans="1:6" ht="28" x14ac:dyDescent="0.3">
      <c r="A8" s="3">
        <v>0.5</v>
      </c>
      <c r="B8" s="1">
        <v>0.8</v>
      </c>
      <c r="C8" s="4">
        <v>1.0986427808216064</v>
      </c>
      <c r="D8" t="s">
        <v>6</v>
      </c>
      <c r="E8" s="5" t="s">
        <v>17</v>
      </c>
      <c r="F8">
        <v>879.74</v>
      </c>
    </row>
    <row r="9" spans="1:6" ht="28" x14ac:dyDescent="0.3">
      <c r="A9" s="3">
        <v>0.8</v>
      </c>
      <c r="B9" s="1">
        <v>0.6</v>
      </c>
      <c r="C9" s="4">
        <v>0.93880816744543316</v>
      </c>
      <c r="D9" t="s">
        <v>7</v>
      </c>
      <c r="E9" s="5" t="s">
        <v>18</v>
      </c>
      <c r="F9">
        <v>1093.6099999999999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H12" sqref="H12"/>
    </sheetView>
  </sheetViews>
  <sheetFormatPr defaultRowHeight="14" x14ac:dyDescent="0.3"/>
  <cols>
    <col min="1" max="1" width="8.83203125" style="1" bestFit="1" customWidth="1"/>
    <col min="2" max="2" width="18.58203125" style="1" bestFit="1" customWidth="1"/>
    <col min="3" max="3" width="30.25" style="1" bestFit="1" customWidth="1"/>
    <col min="4" max="4" width="21.25" style="1" customWidth="1"/>
    <col min="5" max="5" width="19.5" style="1" bestFit="1" customWidth="1"/>
  </cols>
  <sheetData>
    <row r="1" spans="1:5" s="8" customFormat="1" ht="28" x14ac:dyDescent="0.3">
      <c r="A1" s="6" t="s">
        <v>0</v>
      </c>
      <c r="B1" s="6" t="s">
        <v>20</v>
      </c>
      <c r="C1" s="6" t="s">
        <v>21</v>
      </c>
      <c r="D1" s="7" t="s">
        <v>22</v>
      </c>
      <c r="E1" s="7" t="s">
        <v>23</v>
      </c>
    </row>
    <row r="2" spans="1:5" x14ac:dyDescent="0.3">
      <c r="A2" s="2">
        <v>2E-3</v>
      </c>
      <c r="B2" s="1">
        <v>777.34</v>
      </c>
      <c r="C2" s="1">
        <v>343.47</v>
      </c>
      <c r="D2" s="4">
        <f>B2/C2</f>
        <v>2.2631962034529942</v>
      </c>
      <c r="E2" s="1">
        <v>1.72</v>
      </c>
    </row>
    <row r="3" spans="1:5" x14ac:dyDescent="0.3">
      <c r="A3" s="3">
        <v>0.02</v>
      </c>
      <c r="B3" s="1">
        <v>783.39</v>
      </c>
      <c r="C3" s="1">
        <v>382.27</v>
      </c>
      <c r="D3" s="4">
        <f>B3/C3</f>
        <v>2.0493106966280377</v>
      </c>
      <c r="E3" s="1">
        <v>1.65</v>
      </c>
    </row>
    <row r="4" spans="1:5" x14ac:dyDescent="0.3">
      <c r="A4" s="3">
        <v>0.1</v>
      </c>
      <c r="B4" s="1">
        <v>849.29</v>
      </c>
      <c r="C4" s="1">
        <v>536.08000000000004</v>
      </c>
      <c r="D4" s="4">
        <f t="shared" ref="D4:D9" si="0">B4/C4</f>
        <v>1.5842598119683629</v>
      </c>
      <c r="E4" s="1">
        <v>1.4</v>
      </c>
    </row>
    <row r="5" spans="1:5" x14ac:dyDescent="0.3">
      <c r="A5" s="3">
        <v>0.2</v>
      </c>
      <c r="B5" s="1">
        <v>863.27</v>
      </c>
      <c r="C5" s="1">
        <v>662.72</v>
      </c>
      <c r="D5" s="4">
        <f t="shared" si="0"/>
        <v>1.3026164896185417</v>
      </c>
      <c r="E5" s="1">
        <v>1.24</v>
      </c>
    </row>
    <row r="6" spans="1:5" x14ac:dyDescent="0.3">
      <c r="A6" s="3">
        <v>0.3</v>
      </c>
      <c r="B6" s="1">
        <v>884.19</v>
      </c>
      <c r="C6" s="1">
        <v>713.17</v>
      </c>
      <c r="D6" s="4">
        <f t="shared" si="0"/>
        <v>1.2398025716168657</v>
      </c>
      <c r="E6" s="1">
        <v>1.07</v>
      </c>
    </row>
    <row r="7" spans="1:5" x14ac:dyDescent="0.3">
      <c r="A7" s="3">
        <v>0.4</v>
      </c>
      <c r="B7" s="1">
        <v>899.89</v>
      </c>
      <c r="C7" s="1">
        <v>780.64</v>
      </c>
      <c r="D7" s="4">
        <f t="shared" si="0"/>
        <v>1.1527592744414838</v>
      </c>
      <c r="E7" s="1">
        <v>0.93</v>
      </c>
    </row>
    <row r="8" spans="1:5" x14ac:dyDescent="0.3">
      <c r="A8" s="3">
        <v>0.5</v>
      </c>
      <c r="B8" s="1">
        <v>966.52</v>
      </c>
      <c r="C8" s="1">
        <v>879.74</v>
      </c>
      <c r="D8" s="4">
        <f t="shared" si="0"/>
        <v>1.0986427808216064</v>
      </c>
      <c r="E8" s="1">
        <v>0.8</v>
      </c>
    </row>
    <row r="9" spans="1:5" x14ac:dyDescent="0.3">
      <c r="A9" s="3">
        <v>0.8</v>
      </c>
      <c r="B9" s="1">
        <v>1026.69</v>
      </c>
      <c r="C9" s="1">
        <v>1093.6099999999999</v>
      </c>
      <c r="D9" s="4">
        <f t="shared" si="0"/>
        <v>0.93880816744543316</v>
      </c>
      <c r="E9" s="1">
        <v>0.6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2023-12-18T08:39:19Z</dcterms:modified>
</cp:coreProperties>
</file>