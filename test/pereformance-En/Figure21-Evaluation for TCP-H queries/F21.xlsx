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uke\gitee\hlsdb-pg_seqscan_offload\test\pereformance-En\Figure21-Evaluation for TCP-H queries\"/>
    </mc:Choice>
  </mc:AlternateContent>
  <bookViews>
    <workbookView xWindow="0" yWindow="0" windowWidth="19440" windowHeight="10440"/>
  </bookViews>
  <sheets>
    <sheet name="Result" sheetId="20" r:id="rId1"/>
    <sheet name="TPC-H 22 Query Time" sheetId="2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4" i="21" l="1"/>
  <c r="T14" i="21"/>
  <c r="S14" i="21"/>
  <c r="R14" i="21"/>
  <c r="U13" i="21"/>
  <c r="T13" i="21"/>
  <c r="S13" i="21"/>
  <c r="R13" i="21"/>
  <c r="U12" i="21"/>
  <c r="T12" i="21"/>
  <c r="S12" i="21"/>
  <c r="R12" i="21"/>
  <c r="U11" i="21"/>
  <c r="T11" i="21"/>
  <c r="S11" i="21"/>
  <c r="R11" i="21"/>
  <c r="U10" i="21"/>
  <c r="T10" i="21"/>
  <c r="S10" i="21"/>
  <c r="R10" i="21"/>
  <c r="U9" i="21"/>
  <c r="T9" i="21"/>
  <c r="S9" i="21"/>
  <c r="R9" i="21"/>
  <c r="U8" i="21"/>
  <c r="T8" i="21"/>
  <c r="S8" i="21"/>
  <c r="R8" i="21"/>
  <c r="U7" i="21"/>
  <c r="T7" i="21"/>
  <c r="S7" i="21"/>
  <c r="R7" i="21"/>
  <c r="U6" i="21"/>
  <c r="T6" i="21"/>
  <c r="S6" i="21"/>
  <c r="R6" i="21"/>
  <c r="U5" i="21"/>
  <c r="T5" i="21"/>
  <c r="S5" i="21"/>
  <c r="R5" i="21"/>
  <c r="U4" i="21"/>
  <c r="T4" i="21"/>
  <c r="S4" i="21"/>
  <c r="R4" i="21"/>
  <c r="U3" i="21"/>
  <c r="T3" i="21"/>
  <c r="S3" i="21"/>
  <c r="R3" i="21"/>
</calcChain>
</file>

<file path=xl/sharedStrings.xml><?xml version="1.0" encoding="utf-8"?>
<sst xmlns="http://schemas.openxmlformats.org/spreadsheetml/2006/main" count="37" uniqueCount="37">
  <si>
    <t>Query</t>
    <phoneticPr fontId="1" type="noConversion"/>
  </si>
  <si>
    <t>Selectivity</t>
    <phoneticPr fontId="1" type="noConversion"/>
  </si>
  <si>
    <t>1P/FPGA</t>
    <phoneticPr fontId="1" type="noConversion"/>
  </si>
  <si>
    <t>4P/FPGA</t>
    <phoneticPr fontId="1" type="noConversion"/>
  </si>
  <si>
    <t>8P/FPGA</t>
    <phoneticPr fontId="1" type="noConversion"/>
  </si>
  <si>
    <t>Q6
(52%)</t>
    <phoneticPr fontId="1" type="noConversion"/>
  </si>
  <si>
    <t>Q15
(42%)</t>
    <phoneticPr fontId="1" type="noConversion"/>
  </si>
  <si>
    <t>Q14
(41%)</t>
    <phoneticPr fontId="1" type="noConversion"/>
  </si>
  <si>
    <t>Q7
(30%)</t>
    <phoneticPr fontId="1" type="noConversion"/>
  </si>
  <si>
    <t>Q4
(30%)</t>
    <phoneticPr fontId="1" type="noConversion"/>
  </si>
  <si>
    <t>Q21
(28%)</t>
    <phoneticPr fontId="1" type="noConversion"/>
  </si>
  <si>
    <t>Q3
(27%)</t>
    <phoneticPr fontId="1" type="noConversion"/>
  </si>
  <si>
    <t>Q20
(26%)</t>
    <phoneticPr fontId="1" type="noConversion"/>
  </si>
  <si>
    <t>Q1
(11%)</t>
    <phoneticPr fontId="1" type="noConversion"/>
  </si>
  <si>
    <t>Q10
(6%)</t>
    <phoneticPr fontId="1" type="noConversion"/>
  </si>
  <si>
    <t>Q8
(2%)</t>
    <phoneticPr fontId="1" type="noConversion"/>
  </si>
  <si>
    <t>Q5
(2%)</t>
    <phoneticPr fontId="1" type="noConversion"/>
  </si>
  <si>
    <t>1 Parallel/FPGA</t>
    <phoneticPr fontId="1" type="noConversion"/>
  </si>
  <si>
    <t>4 Parallel/FPGA</t>
    <phoneticPr fontId="1" type="noConversion"/>
  </si>
  <si>
    <t>8 Parallel/FPGA</t>
    <phoneticPr fontId="1" type="noConversion"/>
  </si>
  <si>
    <t>12 Parallel/FPGA</t>
    <phoneticPr fontId="1" type="noConversion"/>
  </si>
  <si>
    <t xml:space="preserve">        q6(52%)</t>
    <phoneticPr fontId="1" type="noConversion"/>
  </si>
  <si>
    <t xml:space="preserve">       q15(42%)</t>
    <phoneticPr fontId="1" type="noConversion"/>
  </si>
  <si>
    <t xml:space="preserve">       q14(42%)</t>
    <phoneticPr fontId="1" type="noConversion"/>
  </si>
  <si>
    <t xml:space="preserve">       q21(42%)</t>
    <phoneticPr fontId="1" type="noConversion"/>
  </si>
  <si>
    <t xml:space="preserve">       q20(34%)</t>
    <phoneticPr fontId="1" type="noConversion"/>
  </si>
  <si>
    <t xml:space="preserve">        q7(38%)</t>
    <phoneticPr fontId="1" type="noConversion"/>
  </si>
  <si>
    <t xml:space="preserve">       q10(37%)</t>
    <phoneticPr fontId="1" type="noConversion"/>
  </si>
  <si>
    <t xml:space="preserve">        q3(28%)</t>
    <phoneticPr fontId="1" type="noConversion"/>
  </si>
  <si>
    <t xml:space="preserve">        q4(30%)</t>
    <phoneticPr fontId="1" type="noConversion"/>
  </si>
  <si>
    <t xml:space="preserve">        q8(11%)</t>
    <phoneticPr fontId="1" type="noConversion"/>
  </si>
  <si>
    <t xml:space="preserve">        q1(11%)</t>
    <phoneticPr fontId="1" type="noConversion"/>
  </si>
  <si>
    <t xml:space="preserve">        q5(9%)</t>
    <phoneticPr fontId="1" type="noConversion"/>
  </si>
  <si>
    <t>CPU Parallel Query</t>
    <phoneticPr fontId="1" type="noConversion"/>
  </si>
  <si>
    <t>FPGA Query</t>
    <phoneticPr fontId="1" type="noConversion"/>
  </si>
  <si>
    <t xml:space="preserve">              PG Parallel Count Config
Query</t>
    <phoneticPr fontId="1" type="noConversion"/>
  </si>
  <si>
    <t>Speedup 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</si>
</sst>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9" fontId="0" fillId="0" borderId="0" xfId="1" applyFont="1">
      <alignment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29321304595023"/>
          <c:y val="0.11649822498595855"/>
          <c:w val="0.74544704543296814"/>
          <c:h val="0.714671262579571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Result!$C$1</c:f>
              <c:strCache>
                <c:ptCount val="1"/>
                <c:pt idx="0">
                  <c:v>1P/FPGA</c:v>
                </c:pt>
              </c:strCache>
            </c:strRef>
          </c:tx>
          <c:spPr>
            <a:pattFill prst="lt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Result!$A$2:$A$13</c:f>
              <c:strCache>
                <c:ptCount val="12"/>
                <c:pt idx="0">
                  <c:v>Q6
(52%)</c:v>
                </c:pt>
                <c:pt idx="1">
                  <c:v>Q15
(42%)</c:v>
                </c:pt>
                <c:pt idx="2">
                  <c:v>Q14
(41%)</c:v>
                </c:pt>
                <c:pt idx="3">
                  <c:v>Q7
(30%)</c:v>
                </c:pt>
                <c:pt idx="4">
                  <c:v>Q4
(30%)</c:v>
                </c:pt>
                <c:pt idx="5">
                  <c:v>Q21
(28%)</c:v>
                </c:pt>
                <c:pt idx="6">
                  <c:v>Q3
(27%)</c:v>
                </c:pt>
                <c:pt idx="7">
                  <c:v>Q20
(26%)</c:v>
                </c:pt>
                <c:pt idx="8">
                  <c:v>Q1
(11%)</c:v>
                </c:pt>
                <c:pt idx="9">
                  <c:v>Q10
(6%)</c:v>
                </c:pt>
                <c:pt idx="10">
                  <c:v>Q8
(2%)</c:v>
                </c:pt>
                <c:pt idx="11">
                  <c:v>Q5
(2%)</c:v>
                </c:pt>
              </c:strCache>
            </c:strRef>
          </c:cat>
          <c:val>
            <c:numRef>
              <c:f>Result!$C$2:$C$13</c:f>
              <c:numCache>
                <c:formatCode>0.0</c:formatCode>
                <c:ptCount val="12"/>
                <c:pt idx="0">
                  <c:v>5.6718223279793776</c:v>
                </c:pt>
                <c:pt idx="1">
                  <c:v>3.8507121402964835</c:v>
                </c:pt>
                <c:pt idx="2">
                  <c:v>3.4947052725118488</c:v>
                </c:pt>
                <c:pt idx="3">
                  <c:v>1.1202103075368108</c:v>
                </c:pt>
                <c:pt idx="4">
                  <c:v>1.1000000000000001</c:v>
                </c:pt>
                <c:pt idx="5">
                  <c:v>0.98436598109878237</c:v>
                </c:pt>
                <c:pt idx="6">
                  <c:v>1.0012301626095741</c:v>
                </c:pt>
                <c:pt idx="7">
                  <c:v>1.3547495631703235</c:v>
                </c:pt>
                <c:pt idx="8">
                  <c:v>1.0380910132454031</c:v>
                </c:pt>
                <c:pt idx="9">
                  <c:v>1.0048617856299058</c:v>
                </c:pt>
                <c:pt idx="10">
                  <c:v>1</c:v>
                </c:pt>
                <c:pt idx="11">
                  <c:v>1.0276435879676309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5-44FF-A388-8F55DA88FF6A}"/>
            </c:ext>
          </c:extLst>
        </c:ser>
        <c:ser>
          <c:idx val="2"/>
          <c:order val="2"/>
          <c:tx>
            <c:strRef>
              <c:f>Result!$D$1</c:f>
              <c:strCache>
                <c:ptCount val="1"/>
                <c:pt idx="0">
                  <c:v>4P/FPGA</c:v>
                </c:pt>
              </c:strCache>
            </c:strRef>
          </c:tx>
          <c:spPr>
            <a:pattFill prst="dash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Result!$A$2:$A$13</c:f>
              <c:strCache>
                <c:ptCount val="12"/>
                <c:pt idx="0">
                  <c:v>Q6
(52%)</c:v>
                </c:pt>
                <c:pt idx="1">
                  <c:v>Q15
(42%)</c:v>
                </c:pt>
                <c:pt idx="2">
                  <c:v>Q14
(41%)</c:v>
                </c:pt>
                <c:pt idx="3">
                  <c:v>Q7
(30%)</c:v>
                </c:pt>
                <c:pt idx="4">
                  <c:v>Q4
(30%)</c:v>
                </c:pt>
                <c:pt idx="5">
                  <c:v>Q21
(28%)</c:v>
                </c:pt>
                <c:pt idx="6">
                  <c:v>Q3
(27%)</c:v>
                </c:pt>
                <c:pt idx="7">
                  <c:v>Q20
(26%)</c:v>
                </c:pt>
                <c:pt idx="8">
                  <c:v>Q1
(11%)</c:v>
                </c:pt>
                <c:pt idx="9">
                  <c:v>Q10
(6%)</c:v>
                </c:pt>
                <c:pt idx="10">
                  <c:v>Q8
(2%)</c:v>
                </c:pt>
                <c:pt idx="11">
                  <c:v>Q5
(2%)</c:v>
                </c:pt>
              </c:strCache>
            </c:strRef>
          </c:cat>
          <c:val>
            <c:numRef>
              <c:f>Result!$D$2:$D$13</c:f>
              <c:numCache>
                <c:formatCode>0.0</c:formatCode>
                <c:ptCount val="12"/>
                <c:pt idx="0">
                  <c:v>1.8419968093592132</c:v>
                </c:pt>
                <c:pt idx="1">
                  <c:v>2.7842709640065619</c:v>
                </c:pt>
                <c:pt idx="2">
                  <c:v>1.4673727872009483</c:v>
                </c:pt>
                <c:pt idx="3">
                  <c:v>0.51836349387289826</c:v>
                </c:pt>
                <c:pt idx="4">
                  <c:v>1.3848930836827424</c:v>
                </c:pt>
                <c:pt idx="5">
                  <c:v>0.80128935941104451</c:v>
                </c:pt>
                <c:pt idx="6">
                  <c:v>0.5064277028200822</c:v>
                </c:pt>
                <c:pt idx="7">
                  <c:v>0.84870361039754838</c:v>
                </c:pt>
                <c:pt idx="8">
                  <c:v>0.3107084025568102</c:v>
                </c:pt>
                <c:pt idx="9">
                  <c:v>1.0108923419547502</c:v>
                </c:pt>
                <c:pt idx="10">
                  <c:v>0.98151119853677071</c:v>
                </c:pt>
                <c:pt idx="11">
                  <c:v>0.89373843708471223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95-44FF-A388-8F55DA88FF6A}"/>
            </c:ext>
          </c:extLst>
        </c:ser>
        <c:ser>
          <c:idx val="3"/>
          <c:order val="3"/>
          <c:tx>
            <c:strRef>
              <c:f>Result!$E$1</c:f>
              <c:strCache>
                <c:ptCount val="1"/>
                <c:pt idx="0">
                  <c:v>8P/FPGA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Result!$A$2:$A$13</c:f>
              <c:strCache>
                <c:ptCount val="12"/>
                <c:pt idx="0">
                  <c:v>Q6
(52%)</c:v>
                </c:pt>
                <c:pt idx="1">
                  <c:v>Q15
(42%)</c:v>
                </c:pt>
                <c:pt idx="2">
                  <c:v>Q14
(41%)</c:v>
                </c:pt>
                <c:pt idx="3">
                  <c:v>Q7
(30%)</c:v>
                </c:pt>
                <c:pt idx="4">
                  <c:v>Q4
(30%)</c:v>
                </c:pt>
                <c:pt idx="5">
                  <c:v>Q21
(28%)</c:v>
                </c:pt>
                <c:pt idx="6">
                  <c:v>Q3
(27%)</c:v>
                </c:pt>
                <c:pt idx="7">
                  <c:v>Q20
(26%)</c:v>
                </c:pt>
                <c:pt idx="8">
                  <c:v>Q1
(11%)</c:v>
                </c:pt>
                <c:pt idx="9">
                  <c:v>Q10
(6%)</c:v>
                </c:pt>
                <c:pt idx="10">
                  <c:v>Q8
(2%)</c:v>
                </c:pt>
                <c:pt idx="11">
                  <c:v>Q5
(2%)</c:v>
                </c:pt>
              </c:strCache>
            </c:strRef>
          </c:cat>
          <c:val>
            <c:numRef>
              <c:f>Result!$E$2:$E$13</c:f>
              <c:numCache>
                <c:formatCode>0.0</c:formatCode>
                <c:ptCount val="12"/>
                <c:pt idx="0">
                  <c:v>0.92235758972670401</c:v>
                </c:pt>
                <c:pt idx="1">
                  <c:v>2.483331707792841</c:v>
                </c:pt>
                <c:pt idx="2">
                  <c:v>0.99642514925923209</c:v>
                </c:pt>
                <c:pt idx="3">
                  <c:v>0.43309719688066128</c:v>
                </c:pt>
                <c:pt idx="4">
                  <c:v>1.6719006327630654</c:v>
                </c:pt>
                <c:pt idx="5">
                  <c:v>0.77965714731194458</c:v>
                </c:pt>
                <c:pt idx="6">
                  <c:v>0.46671294459870422</c:v>
                </c:pt>
                <c:pt idx="7">
                  <c:v>0.70736532746646519</c:v>
                </c:pt>
                <c:pt idx="8">
                  <c:v>0.14132052821128452</c:v>
                </c:pt>
                <c:pt idx="9">
                  <c:v>0.97511248115869753</c:v>
                </c:pt>
                <c:pt idx="10">
                  <c:v>0.81359119340811448</c:v>
                </c:pt>
                <c:pt idx="11">
                  <c:v>0.8042328042328043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95-44FF-A388-8F55DA88F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84771728"/>
        <c:axId val="584775056"/>
      </c:barChart>
      <c:lineChart>
        <c:grouping val="standard"/>
        <c:varyColors val="0"/>
        <c:ser>
          <c:idx val="0"/>
          <c:order val="0"/>
          <c:tx>
            <c:strRef>
              <c:f>Result!$B$1</c:f>
              <c:strCache>
                <c:ptCount val="1"/>
                <c:pt idx="0">
                  <c:v>Selectivity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strRef>
              <c:f>Result!$A$2:$A$13</c:f>
              <c:strCache>
                <c:ptCount val="12"/>
                <c:pt idx="0">
                  <c:v>Q6
(52%)</c:v>
                </c:pt>
                <c:pt idx="1">
                  <c:v>Q15
(42%)</c:v>
                </c:pt>
                <c:pt idx="2">
                  <c:v>Q14
(41%)</c:v>
                </c:pt>
                <c:pt idx="3">
                  <c:v>Q7
(30%)</c:v>
                </c:pt>
                <c:pt idx="4">
                  <c:v>Q4
(30%)</c:v>
                </c:pt>
                <c:pt idx="5">
                  <c:v>Q21
(28%)</c:v>
                </c:pt>
                <c:pt idx="6">
                  <c:v>Q3
(27%)</c:v>
                </c:pt>
                <c:pt idx="7">
                  <c:v>Q20
(26%)</c:v>
                </c:pt>
                <c:pt idx="8">
                  <c:v>Q1
(11%)</c:v>
                </c:pt>
                <c:pt idx="9">
                  <c:v>Q10
(6%)</c:v>
                </c:pt>
                <c:pt idx="10">
                  <c:v>Q8
(2%)</c:v>
                </c:pt>
                <c:pt idx="11">
                  <c:v>Q5
(2%)</c:v>
                </c:pt>
              </c:strCache>
            </c:strRef>
          </c:cat>
          <c:val>
            <c:numRef>
              <c:f>Result!$B$2:$B$13</c:f>
              <c:numCache>
                <c:formatCode>0%</c:formatCode>
                <c:ptCount val="12"/>
                <c:pt idx="0">
                  <c:v>1.9009926822145799E-2</c:v>
                </c:pt>
                <c:pt idx="1">
                  <c:v>3.8149690685535767E-2</c:v>
                </c:pt>
                <c:pt idx="2">
                  <c:v>1.2228930303606212E-2</c:v>
                </c:pt>
                <c:pt idx="3">
                  <c:v>0.30486471072129495</c:v>
                </c:pt>
                <c:pt idx="4">
                  <c:v>0.49439334979533489</c:v>
                </c:pt>
                <c:pt idx="5">
                  <c:v>0.63207659456712051</c:v>
                </c:pt>
                <c:pt idx="6">
                  <c:v>0.52870919735784594</c:v>
                </c:pt>
                <c:pt idx="7">
                  <c:v>0.15258346500119641</c:v>
                </c:pt>
                <c:pt idx="8">
                  <c:v>0.98587937987205521</c:v>
                </c:pt>
                <c:pt idx="9">
                  <c:v>3.8061999999999999E-2</c:v>
                </c:pt>
                <c:pt idx="10">
                  <c:v>0.304842</c:v>
                </c:pt>
                <c:pt idx="11">
                  <c:v>0.15173133333333333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5-44FF-A388-8F55DA88F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772144"/>
        <c:axId val="584780464"/>
      </c:lineChart>
      <c:catAx>
        <c:axId val="58477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4775056"/>
        <c:crosses val="autoZero"/>
        <c:auto val="1"/>
        <c:lblAlgn val="ctr"/>
        <c:lblOffset val="100"/>
        <c:noMultiLvlLbl val="0"/>
      </c:catAx>
      <c:valAx>
        <c:axId val="5847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End-to-End Query</a:t>
                </a:r>
                <a:r>
                  <a:rPr lang="en-US" altLang="zh-CN" sz="1200" baseline="0"/>
                  <a:t> Time Ratio</a:t>
                </a:r>
                <a:endParaRPr lang="zh-CN" altLang="en-US" sz="1200"/>
              </a:p>
            </c:rich>
          </c:tx>
          <c:layout>
            <c:manualLayout>
              <c:xMode val="edge"/>
              <c:yMode val="edge"/>
              <c:x val="3.1428678282983784E-2"/>
              <c:y val="0.217871580744935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4771728"/>
        <c:crosses val="autoZero"/>
        <c:crossBetween val="between"/>
      </c:valAx>
      <c:valAx>
        <c:axId val="5847804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Selectivity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4772144"/>
        <c:crosses val="max"/>
        <c:crossBetween val="between"/>
      </c:valAx>
      <c:catAx>
        <c:axId val="58477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478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836544767837126"/>
          <c:y val="2.5505576081259026E-2"/>
          <c:w val="0.66463238832730764"/>
          <c:h val="0.1884775045505027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511736</xdr:colOff>
      <xdr:row>3</xdr:row>
      <xdr:rowOff>227105</xdr:rowOff>
    </xdr:from>
    <xdr:to>
      <xdr:col>12</xdr:col>
      <xdr:colOff>481853</xdr:colOff>
      <xdr:row>12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="115" zoomScaleNormal="115" workbookViewId="0">
      <selection activeCell="G2" sqref="G2"/>
    </sheetView>
  </sheetViews>
  <sheetFormatPr defaultRowHeight="14"/>
  <cols>
    <col min="1" max="1" width="8" customWidth="1"/>
    <col min="2" max="2" width="9.58203125" style="3" customWidth="1"/>
    <col min="3" max="5" width="13.4140625" bestFit="1" customWidth="1"/>
  </cols>
  <sheetData>
    <row r="1" spans="1:5">
      <c r="A1" s="4" t="s">
        <v>0</v>
      </c>
      <c r="B1" s="3" t="s">
        <v>1</v>
      </c>
      <c r="C1" t="s">
        <v>2</v>
      </c>
      <c r="D1" t="s">
        <v>3</v>
      </c>
      <c r="E1" t="s">
        <v>4</v>
      </c>
    </row>
    <row r="2" spans="1:5" ht="28">
      <c r="A2" s="2" t="s">
        <v>5</v>
      </c>
      <c r="B2" s="3">
        <v>1.9009926822145799E-2</v>
      </c>
      <c r="C2" s="5">
        <v>5.6718223279793776</v>
      </c>
      <c r="D2" s="5">
        <v>1.8419968093592132</v>
      </c>
      <c r="E2" s="5">
        <v>0.92235758972670401</v>
      </c>
    </row>
    <row r="3" spans="1:5" ht="28">
      <c r="A3" s="1" t="s">
        <v>6</v>
      </c>
      <c r="B3" s="3">
        <v>3.8149690685535767E-2</v>
      </c>
      <c r="C3" s="5">
        <v>3.8507121402964835</v>
      </c>
      <c r="D3" s="5">
        <v>2.7842709640065619</v>
      </c>
      <c r="E3" s="5">
        <v>2.483331707792841</v>
      </c>
    </row>
    <row r="4" spans="1:5" ht="28">
      <c r="A4" s="1" t="s">
        <v>7</v>
      </c>
      <c r="B4" s="3">
        <v>1.2228930303606212E-2</v>
      </c>
      <c r="C4" s="5">
        <v>3.4947052725118488</v>
      </c>
      <c r="D4" s="5">
        <v>1.4673727872009483</v>
      </c>
      <c r="E4" s="5">
        <v>0.99642514925923209</v>
      </c>
    </row>
    <row r="5" spans="1:5" ht="28">
      <c r="A5" s="1" t="s">
        <v>8</v>
      </c>
      <c r="B5" s="3">
        <v>0.30486471072129495</v>
      </c>
      <c r="C5" s="5">
        <v>1.1202103075368108</v>
      </c>
      <c r="D5" s="5">
        <v>0.51836349387289826</v>
      </c>
      <c r="E5" s="5">
        <v>0.43309719688066128</v>
      </c>
    </row>
    <row r="6" spans="1:5" ht="28">
      <c r="A6" s="1" t="s">
        <v>9</v>
      </c>
      <c r="B6" s="3">
        <v>0.49439334979533489</v>
      </c>
      <c r="C6" s="5">
        <v>1.1000000000000001</v>
      </c>
      <c r="D6" s="5">
        <v>1.3848930836827424</v>
      </c>
      <c r="E6" s="5">
        <v>1.6719006327630654</v>
      </c>
    </row>
    <row r="7" spans="1:5" ht="28">
      <c r="A7" s="1" t="s">
        <v>10</v>
      </c>
      <c r="B7" s="3">
        <v>0.63207659456712051</v>
      </c>
      <c r="C7" s="5">
        <v>0.98436598109878237</v>
      </c>
      <c r="D7" s="5">
        <v>0.80128935941104451</v>
      </c>
      <c r="E7" s="5">
        <v>0.77965714731194458</v>
      </c>
    </row>
    <row r="8" spans="1:5" ht="28">
      <c r="A8" s="1" t="s">
        <v>11</v>
      </c>
      <c r="B8" s="3">
        <v>0.52870919735784594</v>
      </c>
      <c r="C8" s="5">
        <v>1.0012301626095741</v>
      </c>
      <c r="D8" s="5">
        <v>0.5064277028200822</v>
      </c>
      <c r="E8" s="5">
        <v>0.46671294459870422</v>
      </c>
    </row>
    <row r="9" spans="1:5" ht="28">
      <c r="A9" s="1" t="s">
        <v>12</v>
      </c>
      <c r="B9" s="3">
        <v>0.15258346500119641</v>
      </c>
      <c r="C9" s="5">
        <v>1.3547495631703235</v>
      </c>
      <c r="D9" s="5">
        <v>0.84870361039754838</v>
      </c>
      <c r="E9" s="5">
        <v>0.70736532746646519</v>
      </c>
    </row>
    <row r="10" spans="1:5" ht="28">
      <c r="A10" s="1" t="s">
        <v>13</v>
      </c>
      <c r="B10" s="3">
        <v>0.98587937987205521</v>
      </c>
      <c r="C10" s="5">
        <v>1.0380910132454031</v>
      </c>
      <c r="D10" s="5">
        <v>0.3107084025568102</v>
      </c>
      <c r="E10" s="5">
        <v>0.14132052821128452</v>
      </c>
    </row>
    <row r="11" spans="1:5" ht="28">
      <c r="A11" s="1" t="s">
        <v>14</v>
      </c>
      <c r="B11" s="3">
        <v>3.8061999999999999E-2</v>
      </c>
      <c r="C11" s="5">
        <v>1.0048617856299058</v>
      </c>
      <c r="D11" s="5">
        <v>1.0108923419547502</v>
      </c>
      <c r="E11" s="5">
        <v>0.97511248115869753</v>
      </c>
    </row>
    <row r="12" spans="1:5" ht="28">
      <c r="A12" s="1" t="s">
        <v>15</v>
      </c>
      <c r="B12" s="3">
        <v>0.304842</v>
      </c>
      <c r="C12" s="5">
        <v>1</v>
      </c>
      <c r="D12" s="5">
        <v>0.98151119853677071</v>
      </c>
      <c r="E12" s="5">
        <v>0.81359119340811448</v>
      </c>
    </row>
    <row r="13" spans="1:5" ht="28">
      <c r="A13" s="1" t="s">
        <v>16</v>
      </c>
      <c r="B13" s="3">
        <v>0.15173133333333333</v>
      </c>
      <c r="C13" s="5">
        <v>1.0276435879676309</v>
      </c>
      <c r="D13" s="5">
        <v>0.89373843708471223</v>
      </c>
      <c r="E13" s="5">
        <v>0.8042328042328043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selection activeCell="E18" sqref="E18"/>
    </sheetView>
  </sheetViews>
  <sheetFormatPr defaultRowHeight="14"/>
  <cols>
    <col min="1" max="1" width="27.4140625" customWidth="1"/>
    <col min="2" max="2" width="9.1640625" bestFit="1" customWidth="1"/>
    <col min="3" max="13" width="8.1640625" bestFit="1" customWidth="1"/>
    <col min="14" max="14" width="9.1640625" bestFit="1" customWidth="1"/>
    <col min="15" max="17" width="8.1640625" bestFit="1" customWidth="1"/>
    <col min="18" max="20" width="13.4140625" bestFit="1" customWidth="1"/>
    <col min="21" max="21" width="14.5" bestFit="1" customWidth="1"/>
  </cols>
  <sheetData>
    <row r="1" spans="1:21">
      <c r="B1" s="10" t="s">
        <v>33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 t="s">
        <v>34</v>
      </c>
      <c r="O1" s="10"/>
      <c r="P1" s="10"/>
      <c r="Q1" s="10"/>
      <c r="R1" s="10" t="s">
        <v>36</v>
      </c>
      <c r="S1" s="10"/>
      <c r="T1" s="10"/>
      <c r="U1" s="10"/>
    </row>
    <row r="2" spans="1:21" ht="56" customHeight="1">
      <c r="A2" s="9" t="s">
        <v>35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 s="8">
        <v>1</v>
      </c>
      <c r="O2" s="8">
        <v>4</v>
      </c>
      <c r="P2" s="8">
        <v>8</v>
      </c>
      <c r="Q2" s="8">
        <v>12</v>
      </c>
      <c r="R2" s="6" t="s">
        <v>17</v>
      </c>
      <c r="S2" s="6" t="s">
        <v>18</v>
      </c>
      <c r="T2" s="6" t="s">
        <v>19</v>
      </c>
      <c r="U2" s="6" t="s">
        <v>20</v>
      </c>
    </row>
    <row r="3" spans="1:21">
      <c r="A3" t="s">
        <v>21</v>
      </c>
      <c r="B3">
        <v>858.09</v>
      </c>
      <c r="C3">
        <v>503.43</v>
      </c>
      <c r="D3">
        <v>348.67</v>
      </c>
      <c r="E3">
        <v>277.11</v>
      </c>
      <c r="F3">
        <v>228.81</v>
      </c>
      <c r="G3">
        <v>195.33</v>
      </c>
      <c r="H3">
        <v>170.32</v>
      </c>
      <c r="I3">
        <v>153.6</v>
      </c>
      <c r="J3">
        <v>140.06</v>
      </c>
      <c r="K3">
        <v>127.79</v>
      </c>
      <c r="L3">
        <v>118.88</v>
      </c>
      <c r="M3">
        <v>110.62</v>
      </c>
      <c r="N3">
        <v>151.29</v>
      </c>
      <c r="O3">
        <v>150.44</v>
      </c>
      <c r="P3">
        <v>151.85</v>
      </c>
      <c r="Q3">
        <v>151.25</v>
      </c>
      <c r="R3" s="7">
        <f t="shared" ref="R3:R14" si="0">B3/N3</f>
        <v>5.6718223279793776</v>
      </c>
      <c r="S3" s="7">
        <f t="shared" ref="S3:S14" si="1">E3/O3</f>
        <v>1.8419968093592132</v>
      </c>
      <c r="T3" s="7">
        <f t="shared" ref="T3:T14" si="2">J3/P3</f>
        <v>0.92235758972670401</v>
      </c>
      <c r="U3" s="7">
        <f t="shared" ref="U3:U14" si="3">M3/Q3</f>
        <v>0.73137190082644632</v>
      </c>
    </row>
    <row r="4" spans="1:21">
      <c r="A4" t="s">
        <v>22</v>
      </c>
      <c r="B4">
        <v>1987.16</v>
      </c>
      <c r="C4">
        <v>1642.98</v>
      </c>
      <c r="D4">
        <v>1476.17</v>
      </c>
      <c r="E4">
        <v>1442.67</v>
      </c>
      <c r="F4">
        <v>1361.33</v>
      </c>
      <c r="G4">
        <v>1332.72</v>
      </c>
      <c r="H4">
        <v>1307.21</v>
      </c>
      <c r="I4">
        <v>1288.1400000000001</v>
      </c>
      <c r="J4">
        <v>1273.08</v>
      </c>
      <c r="K4">
        <v>1247.19</v>
      </c>
      <c r="L4">
        <v>1258</v>
      </c>
      <c r="M4">
        <v>1250.3399999999999</v>
      </c>
      <c r="N4">
        <v>516.04999999999995</v>
      </c>
      <c r="O4">
        <v>518.15</v>
      </c>
      <c r="P4">
        <v>512.65</v>
      </c>
      <c r="Q4">
        <v>530.88</v>
      </c>
      <c r="R4" s="7">
        <f t="shared" si="0"/>
        <v>3.8507121402964835</v>
      </c>
      <c r="S4" s="7">
        <f t="shared" si="1"/>
        <v>2.7842709640065619</v>
      </c>
      <c r="T4" s="7">
        <f t="shared" si="2"/>
        <v>2.483331707792841</v>
      </c>
      <c r="U4" s="7">
        <f t="shared" si="3"/>
        <v>2.3552215189873418</v>
      </c>
    </row>
    <row r="5" spans="1:21">
      <c r="A5" t="s">
        <v>23</v>
      </c>
      <c r="B5">
        <v>943.85</v>
      </c>
      <c r="C5">
        <v>614.63</v>
      </c>
      <c r="D5">
        <v>472.73</v>
      </c>
      <c r="E5">
        <v>396.22</v>
      </c>
      <c r="F5">
        <v>352.88</v>
      </c>
      <c r="G5">
        <v>309.36</v>
      </c>
      <c r="H5">
        <v>298.70999999999998</v>
      </c>
      <c r="I5">
        <v>274.72000000000003</v>
      </c>
      <c r="J5">
        <v>270.37</v>
      </c>
      <c r="K5">
        <v>263.44</v>
      </c>
      <c r="L5">
        <v>255.71</v>
      </c>
      <c r="M5">
        <v>247.45</v>
      </c>
      <c r="N5">
        <v>270.08</v>
      </c>
      <c r="O5">
        <v>270.02</v>
      </c>
      <c r="P5">
        <v>271.33999999999997</v>
      </c>
      <c r="Q5">
        <v>268.89999999999998</v>
      </c>
      <c r="R5" s="7">
        <f t="shared" si="0"/>
        <v>3.4947052725118488</v>
      </c>
      <c r="S5" s="7">
        <f t="shared" si="1"/>
        <v>1.4673727872009483</v>
      </c>
      <c r="T5" s="7">
        <f t="shared" si="2"/>
        <v>0.99642514925923209</v>
      </c>
      <c r="U5" s="7">
        <f t="shared" si="3"/>
        <v>0.92023056898475275</v>
      </c>
    </row>
    <row r="6" spans="1:21">
      <c r="A6" t="s">
        <v>24</v>
      </c>
      <c r="B6">
        <v>7179.68</v>
      </c>
      <c r="C6">
        <v>6383.09</v>
      </c>
      <c r="D6">
        <v>5909.73</v>
      </c>
      <c r="E6">
        <v>5700.06</v>
      </c>
      <c r="F6">
        <v>5619.82</v>
      </c>
      <c r="G6">
        <v>5561.68</v>
      </c>
      <c r="H6">
        <v>5669.31</v>
      </c>
      <c r="I6">
        <v>5451.21</v>
      </c>
      <c r="J6">
        <v>5600.48</v>
      </c>
      <c r="K6">
        <v>5379.88</v>
      </c>
      <c r="L6">
        <v>5366.12</v>
      </c>
      <c r="M6">
        <v>5430.03</v>
      </c>
      <c r="N6">
        <v>7293.71</v>
      </c>
      <c r="O6">
        <v>7113.61</v>
      </c>
      <c r="P6">
        <v>7183.26</v>
      </c>
      <c r="Q6">
        <v>7120.19</v>
      </c>
      <c r="R6" s="7">
        <f>B6/N6</f>
        <v>0.98436598109878237</v>
      </c>
      <c r="S6" s="7">
        <f>E6/O6</f>
        <v>0.80128935941104451</v>
      </c>
      <c r="T6" s="7">
        <f>J6/P6</f>
        <v>0.77965714731194458</v>
      </c>
      <c r="U6" s="7">
        <f>M6/Q6</f>
        <v>0.76262431199167435</v>
      </c>
    </row>
    <row r="7" spans="1:21">
      <c r="A7" t="s">
        <v>25</v>
      </c>
      <c r="B7">
        <v>1853.04</v>
      </c>
      <c r="C7">
        <v>1382.2</v>
      </c>
      <c r="D7">
        <v>1107.1300000000001</v>
      </c>
      <c r="E7">
        <v>1027.5</v>
      </c>
      <c r="F7">
        <v>929.41</v>
      </c>
      <c r="G7">
        <v>898.55</v>
      </c>
      <c r="H7">
        <v>891.39</v>
      </c>
      <c r="I7">
        <v>872.02</v>
      </c>
      <c r="J7">
        <v>861.67</v>
      </c>
      <c r="K7">
        <v>857.89</v>
      </c>
      <c r="L7">
        <v>853.92</v>
      </c>
      <c r="M7">
        <v>840.64</v>
      </c>
      <c r="N7">
        <v>1367.81</v>
      </c>
      <c r="O7">
        <v>1210.67</v>
      </c>
      <c r="P7">
        <v>1218.1400000000001</v>
      </c>
      <c r="Q7">
        <v>1195.29</v>
      </c>
      <c r="R7" s="7">
        <f>B7/N7</f>
        <v>1.3547495631703235</v>
      </c>
      <c r="S7" s="7">
        <f>E7/O7</f>
        <v>0.84870361039754838</v>
      </c>
      <c r="T7" s="7">
        <f>J7/P7</f>
        <v>0.70736532746646519</v>
      </c>
      <c r="U7" s="7">
        <f>M7/Q7</f>
        <v>0.70329376134661881</v>
      </c>
    </row>
    <row r="8" spans="1:21">
      <c r="A8" t="s">
        <v>26</v>
      </c>
      <c r="B8">
        <v>2360.7199999999998</v>
      </c>
      <c r="C8">
        <v>1382.75</v>
      </c>
      <c r="D8">
        <v>1135.95</v>
      </c>
      <c r="E8">
        <v>873.09</v>
      </c>
      <c r="F8">
        <v>738.9</v>
      </c>
      <c r="G8">
        <v>640.79999999999995</v>
      </c>
      <c r="H8">
        <v>590.42999999999995</v>
      </c>
      <c r="I8">
        <v>554.11</v>
      </c>
      <c r="J8">
        <v>667</v>
      </c>
      <c r="K8">
        <v>476.43</v>
      </c>
      <c r="L8">
        <v>480.79</v>
      </c>
      <c r="M8">
        <v>441.68</v>
      </c>
      <c r="N8">
        <v>2107.39</v>
      </c>
      <c r="O8">
        <v>1684.32</v>
      </c>
      <c r="P8">
        <v>1540.07</v>
      </c>
      <c r="Q8">
        <v>1506.61</v>
      </c>
      <c r="R8" s="7">
        <f t="shared" si="0"/>
        <v>1.1202103075368108</v>
      </c>
      <c r="S8" s="7">
        <f t="shared" si="1"/>
        <v>0.51836349387289826</v>
      </c>
      <c r="T8" s="7">
        <f t="shared" si="2"/>
        <v>0.43309719688066128</v>
      </c>
      <c r="U8" s="7">
        <f t="shared" si="3"/>
        <v>0.29316146846230945</v>
      </c>
    </row>
    <row r="9" spans="1:21">
      <c r="A9" t="s">
        <v>27</v>
      </c>
      <c r="B9">
        <v>1913.91</v>
      </c>
      <c r="C9">
        <v>1309.19</v>
      </c>
      <c r="D9">
        <v>1095.33</v>
      </c>
      <c r="E9">
        <v>998.61</v>
      </c>
      <c r="F9">
        <v>948.73</v>
      </c>
      <c r="G9">
        <v>917.35</v>
      </c>
      <c r="H9">
        <v>904.47</v>
      </c>
      <c r="I9">
        <v>882.8</v>
      </c>
      <c r="J9">
        <v>860.41</v>
      </c>
      <c r="K9">
        <v>855.49</v>
      </c>
      <c r="L9">
        <v>844.6</v>
      </c>
      <c r="M9">
        <v>838.77</v>
      </c>
      <c r="N9">
        <v>1904.65</v>
      </c>
      <c r="O9">
        <v>987.85</v>
      </c>
      <c r="P9">
        <v>882.37</v>
      </c>
      <c r="Q9">
        <v>840.79</v>
      </c>
      <c r="R9" s="7">
        <f>B9/N9</f>
        <v>1.0048617856299058</v>
      </c>
      <c r="S9" s="7">
        <f t="shared" si="1"/>
        <v>1.0108923419547502</v>
      </c>
      <c r="T9" s="7">
        <f t="shared" si="2"/>
        <v>0.97511248115869753</v>
      </c>
      <c r="U9" s="7">
        <f>M9/Q9</f>
        <v>0.99759749759155081</v>
      </c>
    </row>
    <row r="10" spans="1:21">
      <c r="A10" t="s">
        <v>28</v>
      </c>
      <c r="B10">
        <v>2457.98</v>
      </c>
      <c r="C10">
        <v>1582.79</v>
      </c>
      <c r="D10">
        <v>1345.89</v>
      </c>
      <c r="E10">
        <v>1224.3699999999999</v>
      </c>
      <c r="F10">
        <v>1161.76</v>
      </c>
      <c r="G10">
        <v>1136.76</v>
      </c>
      <c r="H10">
        <v>1142.8499999999999</v>
      </c>
      <c r="I10">
        <v>1120.69</v>
      </c>
      <c r="J10">
        <v>1129.52</v>
      </c>
      <c r="K10">
        <v>1138.83</v>
      </c>
      <c r="L10">
        <v>931.64</v>
      </c>
      <c r="M10">
        <v>928.91</v>
      </c>
      <c r="N10">
        <v>2454.96</v>
      </c>
      <c r="O10">
        <v>2417.66</v>
      </c>
      <c r="P10">
        <v>2420.16</v>
      </c>
      <c r="Q10">
        <v>2394.9299999999998</v>
      </c>
      <c r="R10" s="7">
        <f>B10/N10</f>
        <v>1.0012301626095741</v>
      </c>
      <c r="S10" s="7">
        <f t="shared" si="1"/>
        <v>0.5064277028200822</v>
      </c>
      <c r="T10" s="7">
        <f t="shared" si="2"/>
        <v>0.46671294459870422</v>
      </c>
      <c r="U10" s="7">
        <f>M10/Q10</f>
        <v>0.38786519856530255</v>
      </c>
    </row>
    <row r="11" spans="1:21">
      <c r="A11" t="s">
        <v>29</v>
      </c>
      <c r="B11">
        <v>1984.66</v>
      </c>
      <c r="C11">
        <v>2266.94</v>
      </c>
      <c r="D11">
        <v>2375.65</v>
      </c>
      <c r="E11">
        <v>2447.48</v>
      </c>
      <c r="F11">
        <v>2389.09</v>
      </c>
      <c r="G11">
        <v>2565.0100000000002</v>
      </c>
      <c r="H11">
        <v>2671.48</v>
      </c>
      <c r="I11">
        <v>2726.17</v>
      </c>
      <c r="J11">
        <v>2853.6</v>
      </c>
      <c r="K11">
        <v>2883.7</v>
      </c>
      <c r="L11">
        <v>2976.09</v>
      </c>
      <c r="M11">
        <v>2976.31</v>
      </c>
      <c r="N11">
        <v>1747.79</v>
      </c>
      <c r="O11">
        <v>1767.27</v>
      </c>
      <c r="P11">
        <v>1706.8</v>
      </c>
      <c r="Q11">
        <v>1710.98</v>
      </c>
      <c r="R11" s="7">
        <f>B11/N11</f>
        <v>1.1355254349778865</v>
      </c>
      <c r="S11" s="7">
        <f t="shared" si="1"/>
        <v>1.3848930836827424</v>
      </c>
      <c r="T11" s="7">
        <f t="shared" si="2"/>
        <v>1.6719006327630654</v>
      </c>
      <c r="U11" s="7">
        <f>M11/Q11</f>
        <v>1.7395352371155712</v>
      </c>
    </row>
    <row r="12" spans="1:21">
      <c r="A12" t="s">
        <v>30</v>
      </c>
      <c r="B12">
        <v>3374.375</v>
      </c>
      <c r="C12">
        <v>1918.78</v>
      </c>
      <c r="D12">
        <v>1410.29</v>
      </c>
      <c r="E12">
        <v>1137.6500000000001</v>
      </c>
      <c r="F12">
        <v>965.07</v>
      </c>
      <c r="G12">
        <v>822.45</v>
      </c>
      <c r="H12">
        <v>764.99</v>
      </c>
      <c r="I12">
        <v>681.1</v>
      </c>
      <c r="J12">
        <v>623.04</v>
      </c>
      <c r="K12">
        <v>606.64</v>
      </c>
      <c r="L12">
        <v>566.04</v>
      </c>
      <c r="M12">
        <v>538.86</v>
      </c>
      <c r="N12">
        <v>3356.2080000000001</v>
      </c>
      <c r="O12">
        <v>1159.08</v>
      </c>
      <c r="P12">
        <v>765.79</v>
      </c>
      <c r="Q12">
        <v>612.12</v>
      </c>
      <c r="R12" s="7">
        <f t="shared" si="0"/>
        <v>1.0054129541434857</v>
      </c>
      <c r="S12" s="7">
        <f t="shared" si="1"/>
        <v>0.98151119853677071</v>
      </c>
      <c r="T12" s="7">
        <f t="shared" si="2"/>
        <v>0.81359119340811448</v>
      </c>
      <c r="U12" s="7">
        <f t="shared" si="3"/>
        <v>0.8803175847872966</v>
      </c>
    </row>
    <row r="13" spans="1:21">
      <c r="A13" t="s">
        <v>31</v>
      </c>
      <c r="B13">
        <v>5943.86</v>
      </c>
      <c r="C13">
        <v>3499.23</v>
      </c>
      <c r="D13">
        <v>2311.5100000000002</v>
      </c>
      <c r="E13">
        <v>1765.47</v>
      </c>
      <c r="F13">
        <v>1422.99</v>
      </c>
      <c r="G13">
        <v>1211.3900000000001</v>
      </c>
      <c r="H13">
        <v>1049.4000000000001</v>
      </c>
      <c r="I13">
        <v>907.9</v>
      </c>
      <c r="J13">
        <v>824.04</v>
      </c>
      <c r="K13">
        <v>741.33</v>
      </c>
      <c r="L13">
        <v>687.48</v>
      </c>
      <c r="M13">
        <v>631.51</v>
      </c>
      <c r="N13">
        <v>5725.76</v>
      </c>
      <c r="O13">
        <v>5682.08</v>
      </c>
      <c r="P13">
        <v>5831</v>
      </c>
      <c r="Q13">
        <v>5886.43</v>
      </c>
      <c r="R13" s="7">
        <f t="shared" si="0"/>
        <v>1.0380910132454031</v>
      </c>
      <c r="S13" s="7">
        <f t="shared" si="1"/>
        <v>0.3107084025568102</v>
      </c>
      <c r="T13" s="7">
        <f t="shared" si="2"/>
        <v>0.14132052821128452</v>
      </c>
      <c r="U13" s="7">
        <f t="shared" si="3"/>
        <v>0.10728234260833816</v>
      </c>
    </row>
    <row r="14" spans="1:21">
      <c r="A14" t="s">
        <v>32</v>
      </c>
      <c r="B14">
        <v>3516.36</v>
      </c>
      <c r="C14">
        <v>1791.27</v>
      </c>
      <c r="D14">
        <v>1281.99</v>
      </c>
      <c r="E14">
        <v>1028.97</v>
      </c>
      <c r="F14">
        <v>860.06</v>
      </c>
      <c r="G14">
        <v>759.25</v>
      </c>
      <c r="H14">
        <v>700.83</v>
      </c>
      <c r="I14">
        <v>630.74</v>
      </c>
      <c r="J14">
        <v>594.32000000000005</v>
      </c>
      <c r="K14">
        <v>553.35</v>
      </c>
      <c r="L14">
        <v>519.15</v>
      </c>
      <c r="M14">
        <v>488.71</v>
      </c>
      <c r="N14">
        <v>3421.77</v>
      </c>
      <c r="O14">
        <v>1151.31</v>
      </c>
      <c r="P14">
        <v>738.99</v>
      </c>
      <c r="Q14">
        <v>591.03</v>
      </c>
      <c r="R14" s="7">
        <f t="shared" si="0"/>
        <v>1.0276435879676309</v>
      </c>
      <c r="S14" s="7">
        <f t="shared" si="1"/>
        <v>0.89373843708471223</v>
      </c>
      <c r="T14" s="7">
        <f t="shared" si="2"/>
        <v>0.8042328042328043</v>
      </c>
      <c r="U14" s="7">
        <f t="shared" si="3"/>
        <v>0.82687850024533438</v>
      </c>
    </row>
  </sheetData>
  <mergeCells count="3">
    <mergeCell ref="B1:M1"/>
    <mergeCell ref="N1:Q1"/>
    <mergeCell ref="R1: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</vt:lpstr>
      <vt:lpstr>TPC-H 22 Query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Liuke Liu (刘科)-云数据中心集团</dc:creator>
  <cp:lastModifiedBy>Liuke Liu (刘科)-云数据中心集团</cp:lastModifiedBy>
  <dcterms:created xsi:type="dcterms:W3CDTF">2023-04-23T00:36:46Z</dcterms:created>
  <dcterms:modified xsi:type="dcterms:W3CDTF">2023-12-18T09:01:28Z</dcterms:modified>
</cp:coreProperties>
</file>