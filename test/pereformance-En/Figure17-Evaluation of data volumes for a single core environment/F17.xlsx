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9040" windowHeight="15840" activeTab="1"/>
  </bookViews>
  <sheets>
    <sheet name="Result" sheetId="1" r:id="rId1"/>
    <sheet name="Raw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4" i="2" l="1"/>
  <c r="D4" i="2"/>
  <c r="C4" i="2"/>
  <c r="B4" i="2"/>
  <c r="I3" i="2"/>
  <c r="H3" i="2"/>
  <c r="G3" i="2"/>
  <c r="F3" i="2"/>
  <c r="I2" i="2"/>
  <c r="H2" i="2"/>
  <c r="G2" i="2"/>
  <c r="F2" i="2"/>
</calcChain>
</file>

<file path=xl/sharedStrings.xml><?xml version="1.0" encoding="utf-8"?>
<sst xmlns="http://schemas.openxmlformats.org/spreadsheetml/2006/main" count="34" uniqueCount="20">
  <si>
    <t>JSA Literature</t>
    <phoneticPr fontId="1" type="noConversion"/>
  </si>
  <si>
    <t>this paper</t>
    <phoneticPr fontId="1" type="noConversion"/>
  </si>
  <si>
    <t>Table size/Gbyte</t>
    <phoneticPr fontId="1" type="noConversion"/>
  </si>
  <si>
    <t>Ratio</t>
    <phoneticPr fontId="1" type="noConversion"/>
  </si>
  <si>
    <t>Time</t>
    <phoneticPr fontId="1" type="noConversion"/>
  </si>
  <si>
    <t>(396ms)</t>
    <phoneticPr fontId="1" type="noConversion"/>
  </si>
  <si>
    <t>(751ms)</t>
    <phoneticPr fontId="1" type="noConversion"/>
  </si>
  <si>
    <t>(1485ms)</t>
    <phoneticPr fontId="1" type="noConversion"/>
  </si>
  <si>
    <t>(2923ms)</t>
    <phoneticPr fontId="1" type="noConversion"/>
  </si>
  <si>
    <t xml:space="preserve">     1GB</t>
  </si>
  <si>
    <t xml:space="preserve">     2GB</t>
  </si>
  <si>
    <t xml:space="preserve">     4GB</t>
  </si>
  <si>
    <t xml:space="preserve">     8GB</t>
  </si>
  <si>
    <t>CPU Query Time (ms)</t>
    <phoneticPr fontId="1" type="noConversion"/>
  </si>
  <si>
    <t>1.0x</t>
  </si>
  <si>
    <t>FPGA End-to-End Query Time (ms)</t>
    <phoneticPr fontId="1" type="noConversion"/>
  </si>
  <si>
    <t>2.0x</t>
  </si>
  <si>
    <t>2.1x</t>
  </si>
  <si>
    <t>Speedup Ratio</t>
    <phoneticPr fontId="1" type="noConversion"/>
  </si>
  <si>
    <t xml:space="preserve">                                                 Table Size
Query Method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</si>
</sst>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"/>
  </numFmts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rgb="FFFF0000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 diagonalDown="1">
      <left/>
      <right/>
      <top/>
      <bottom/>
      <diagonal style="thin">
        <color auto="1"/>
      </diagonal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left" vertical="center" wrapText="1"/>
    </xf>
    <xf numFmtId="176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  <xf numFmtId="176" fontId="2" fillId="0" borderId="0" xfId="0" applyNumberFormat="1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491432658383521"/>
          <c:y val="0.15632261693381433"/>
          <c:w val="0.83570067291464045"/>
          <c:h val="0.66241706629516184"/>
        </c:manualLayout>
      </c:layout>
      <c:barChart>
        <c:barDir val="col"/>
        <c:grouping val="clustered"/>
        <c:varyColors val="0"/>
        <c:ser>
          <c:idx val="0"/>
          <c:order val="0"/>
          <c:tx>
            <c:v>System Proposed by Sun et al.</c:v>
          </c:tx>
          <c:spPr>
            <a:pattFill prst="openDmnd">
              <a:fgClr>
                <a:schemeClr val="tx1"/>
              </a:fgClr>
              <a:bgClr>
                <a:schemeClr val="bg1"/>
              </a:bgClr>
            </a:pattFill>
            <a:ln>
              <a:solidFill>
                <a:schemeClr val="tx1"/>
              </a:solidFill>
            </a:ln>
            <a:effectLst/>
          </c:spPr>
          <c:invertIfNegative val="0"/>
          <c:dLbls>
            <c:dLbl>
              <c:idx val="0"/>
              <c:layout/>
              <c:tx>
                <c:rich>
                  <a:bodyPr/>
                  <a:lstStyle/>
                  <a:p>
                    <a:fld id="{73F287DB-2638-492E-A6C3-C6496DCAB351}" type="VALUE">
                      <a:rPr lang="en-US" altLang="zh-CN"/>
                      <a:pPr/>
                      <a:t>[值]</a:t>
                    </a:fld>
                    <a:r>
                      <a:rPr lang="en-US" altLang="zh-CN"/>
                      <a:t>x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0-7EE5-4054-B8E5-5E1F0313B352}"/>
                </c:ext>
              </c:extLst>
            </c:dLbl>
            <c:dLbl>
              <c:idx val="1"/>
              <c:layout/>
              <c:tx>
                <c:rich>
                  <a:bodyPr/>
                  <a:lstStyle/>
                  <a:p>
                    <a:fld id="{C4EB47A0-4789-412C-8655-CDCCCC5980D0}" type="VALUE">
                      <a:rPr lang="en-US" altLang="zh-CN"/>
                      <a:pPr/>
                      <a:t>[值]</a:t>
                    </a:fld>
                    <a:r>
                      <a:rPr lang="en-US" altLang="zh-CN"/>
                      <a:t>x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7EE5-4054-B8E5-5E1F0313B352}"/>
                </c:ext>
              </c:extLst>
            </c:dLbl>
            <c:dLbl>
              <c:idx val="2"/>
              <c:layout/>
              <c:tx>
                <c:rich>
                  <a:bodyPr/>
                  <a:lstStyle/>
                  <a:p>
                    <a:fld id="{A37B1222-54CC-4709-A52F-564C8E457E16}" type="VALUE">
                      <a:rPr lang="en-US" altLang="zh-CN"/>
                      <a:pPr/>
                      <a:t>[值]</a:t>
                    </a:fld>
                    <a:r>
                      <a:rPr lang="en-US" altLang="zh-CN"/>
                      <a:t>x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2-7EE5-4054-B8E5-5E1F0313B352}"/>
                </c:ext>
              </c:extLst>
            </c:dLbl>
            <c:dLbl>
              <c:idx val="3"/>
              <c:layout/>
              <c:tx>
                <c:rich>
                  <a:bodyPr/>
                  <a:lstStyle/>
                  <a:p>
                    <a:fld id="{59E49D8A-E68B-46C1-8822-EF4656B31606}" type="VALUE">
                      <a:rPr lang="en-US" altLang="zh-CN"/>
                      <a:pPr/>
                      <a:t>[值]</a:t>
                    </a:fld>
                    <a:r>
                      <a:rPr lang="en-US" altLang="zh-CN"/>
                      <a:t>x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7EE5-4054-B8E5-5E1F0313B35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Result!$A$2:$A$6</c15:sqref>
                  </c15:fullRef>
                </c:ext>
              </c:extLst>
              <c:f>Result!$A$3:$A$6</c:f>
              <c:strCache>
                <c:ptCount val="4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Result!$B$2:$B$6</c15:sqref>
                  </c15:fullRef>
                </c:ext>
              </c:extLst>
              <c:f>Result!$B$3:$B$6</c:f>
              <c:numCache>
                <c:formatCode>General</c:formatCode>
                <c:ptCount val="4"/>
                <c:pt idx="0">
                  <c:v>1.65</c:v>
                </c:pt>
                <c:pt idx="1">
                  <c:v>1.65</c:v>
                </c:pt>
                <c:pt idx="2">
                  <c:v>1.65</c:v>
                </c:pt>
                <c:pt idx="3">
                  <c:v>1.67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EE5-4054-B8E5-5E1F0313B352}"/>
            </c:ext>
          </c:extLst>
        </c:ser>
        <c:ser>
          <c:idx val="1"/>
          <c:order val="1"/>
          <c:tx>
            <c:v>Our solution</c:v>
          </c:tx>
          <c:spPr>
            <a:pattFill prst="dkDnDiag">
              <a:fgClr>
                <a:schemeClr val="tx1"/>
              </a:fgClr>
              <a:bgClr>
                <a:schemeClr val="bg1"/>
              </a:bgClr>
            </a:pattFill>
            <a:ln>
              <a:solidFill>
                <a:schemeClr val="tx1"/>
              </a:solidFill>
            </a:ln>
            <a:effectLst/>
          </c:spPr>
          <c:invertIfNegative val="0"/>
          <c:dLbls>
            <c:dLbl>
              <c:idx val="0"/>
              <c:layout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/>
                      <a:t>2.1x (396ms)</a:t>
                    </a:r>
                  </a:p>
                </c:rich>
              </c:tx>
              <c:numFmt formatCode="@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5-7EE5-4054-B8E5-5E1F0313B352}"/>
                </c:ext>
              </c:extLst>
            </c:dLbl>
            <c:dLbl>
              <c:idx val="1"/>
              <c:layout/>
              <c:tx>
                <c:rich>
                  <a:bodyPr/>
                  <a:lstStyle/>
                  <a:p>
                    <a:fld id="{C839AE61-B84D-4207-90A2-089BE1CF2091}" type="VALUE">
                      <a:rPr lang="en-US" altLang="zh-CN"/>
                      <a:pPr/>
                      <a:t>[值]</a:t>
                    </a:fld>
                    <a:r>
                      <a:rPr lang="en-US" altLang="zh-CN"/>
                      <a:t>x (751ms)</a:t>
                    </a:r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7EE5-4054-B8E5-5E1F0313B352}"/>
                </c:ext>
              </c:extLst>
            </c:dLbl>
            <c:dLbl>
              <c:idx val="2"/>
              <c:layout/>
              <c:tx>
                <c:rich>
                  <a:bodyPr/>
                  <a:lstStyle/>
                  <a:p>
                    <a:fld id="{3BEFEAB8-0602-49E2-87DC-E8976263FF41}" type="VALUE">
                      <a:rPr lang="en-US" altLang="zh-CN"/>
                      <a:pPr/>
                      <a:t>[值]</a:t>
                    </a:fld>
                    <a:r>
                      <a:rPr lang="en-US" altLang="zh-CN"/>
                      <a:t>x (1485ms)</a:t>
                    </a:r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7-7EE5-4054-B8E5-5E1F0313B352}"/>
                </c:ext>
              </c:extLst>
            </c:dLbl>
            <c:dLbl>
              <c:idx val="3"/>
              <c:layout/>
              <c:tx>
                <c:rich>
                  <a:bodyPr/>
                  <a:lstStyle/>
                  <a:p>
                    <a:fld id="{154BF233-54FF-4831-8189-5C4D89BF69CC}" type="VALUE">
                      <a:rPr lang="en-US" altLang="zh-CN"/>
                      <a:pPr/>
                      <a:t>[值]</a:t>
                    </a:fld>
                    <a:r>
                      <a:rPr lang="en-US" altLang="zh-CN"/>
                      <a:t>x (2923ms)</a:t>
                    </a:r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8-7EE5-4054-B8E5-5E1F0313B35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Result!$A$2:$A$6</c15:sqref>
                  </c15:fullRef>
                </c:ext>
              </c:extLst>
              <c:f>Result!$A$3:$A$6</c:f>
              <c:strCache>
                <c:ptCount val="4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Result!$C$2:$C$6</c15:sqref>
                  </c15:fullRef>
                </c:ext>
              </c:extLst>
              <c:f>Result!$C$3:$C$6</c:f>
              <c:numCache>
                <c:formatCode>General</c:formatCode>
                <c:ptCount val="4"/>
                <c:pt idx="0">
                  <c:v>2.1</c:v>
                </c:pt>
                <c:pt idx="1">
                  <c:v>2.1</c:v>
                </c:pt>
                <c:pt idx="2">
                  <c:v>2.1</c:v>
                </c:pt>
                <c:pt idx="3">
                  <c:v>2.1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Result!$C$3:$C$6</c15:f>
                <c15:dlblRangeCache>
                  <c:ptCount val="4"/>
                  <c:pt idx="0">
                    <c:v>2.1</c:v>
                  </c:pt>
                  <c:pt idx="1">
                    <c:v>2.1</c:v>
                  </c:pt>
                  <c:pt idx="2">
                    <c:v>2.1</c:v>
                  </c:pt>
                  <c:pt idx="3">
                    <c:v>2.1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9-7EE5-4054-B8E5-5E1F0313B3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10844063"/>
        <c:axId val="610860287"/>
      </c:barChart>
      <c:catAx>
        <c:axId val="61084406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Table size (GB)</a:t>
                </a:r>
                <a:endParaRPr lang="zh-CN" sz="1200"/>
              </a:p>
            </c:rich>
          </c:tx>
          <c:layout>
            <c:manualLayout>
              <c:xMode val="edge"/>
              <c:yMode val="edge"/>
              <c:x val="0.42143565277810885"/>
              <c:y val="0.8786804175122421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10860287"/>
        <c:crosses val="autoZero"/>
        <c:auto val="1"/>
        <c:lblAlgn val="ctr"/>
        <c:lblOffset val="100"/>
        <c:noMultiLvlLbl val="0"/>
      </c:catAx>
      <c:valAx>
        <c:axId val="6108602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sz="1400"/>
                  <a:t>Speed</a:t>
                </a:r>
                <a:r>
                  <a:rPr lang="en-US" altLang="zh-CN" sz="1400" baseline="0"/>
                  <a:t> Up Ratio</a:t>
                </a:r>
                <a:endParaRPr lang="zh-CN" sz="1400"/>
              </a:p>
            </c:rich>
          </c:tx>
          <c:layout>
            <c:manualLayout>
              <c:xMode val="edge"/>
              <c:yMode val="edge"/>
              <c:x val="3.0446791198076684E-2"/>
              <c:y val="0.3187525579170314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108440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11499259376122987"/>
          <c:y val="2.813560623739067E-2"/>
          <c:w val="0.84793370320703298"/>
          <c:h val="0.1055251389057095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4803149606299213" l="0.70866141732283472" r="0.70866141732283472" t="0.74803149606299213" header="0.31496062992125984" footer="0.31496062992125984"/>
    <c:pageSetup paperSize="9" orientation="landscape" blackAndWhite="1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553356</xdr:colOff>
      <xdr:row>1</xdr:row>
      <xdr:rowOff>136071</xdr:rowOff>
    </xdr:from>
    <xdr:to>
      <xdr:col>11</xdr:col>
      <xdr:colOff>501115</xdr:colOff>
      <xdr:row>17</xdr:row>
      <xdr:rowOff>30844</xdr:rowOff>
    </xdr:to>
    <xdr:graphicFrame macro="">
      <xdr:nvGraphicFramePr>
        <xdr:cNvPr id="3" name="图表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光面">
      <a:fillStyleLst>
        <a:solidFill>
          <a:schemeClr val="phClr"/>
        </a:solidFill>
        <a:gradFill rotWithShape="1">
          <a:gsLst>
            <a:gs pos="0">
              <a:schemeClr val="phClr">
                <a:tint val="62000"/>
                <a:satMod val="180000"/>
              </a:schemeClr>
            </a:gs>
            <a:gs pos="65000">
              <a:schemeClr val="phClr">
                <a:tint val="32000"/>
                <a:satMod val="250000"/>
              </a:schemeClr>
            </a:gs>
            <a:gs pos="100000">
              <a:schemeClr val="phClr">
                <a:tint val="23000"/>
                <a:satMod val="300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shade val="15000"/>
                <a:satMod val="180000"/>
              </a:schemeClr>
            </a:gs>
            <a:gs pos="50000">
              <a:schemeClr val="phClr">
                <a:shade val="45000"/>
                <a:satMod val="170000"/>
              </a:schemeClr>
            </a:gs>
            <a:gs pos="70000">
              <a:schemeClr val="phClr">
                <a:tint val="99000"/>
                <a:shade val="65000"/>
                <a:satMod val="155000"/>
              </a:schemeClr>
            </a:gs>
            <a:gs pos="100000">
              <a:schemeClr val="phClr">
                <a:tint val="95500"/>
                <a:shade val="100000"/>
                <a:satMod val="15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>
              <a:tint val="95000"/>
              <a:shade val="95000"/>
              <a:satMod val="120000"/>
            </a:schemeClr>
          </a:solidFill>
          <a:prstDash val="solid"/>
        </a:ln>
        <a:ln w="55000" cap="flat" cmpd="thickThin" algn="ctr">
          <a:solidFill>
            <a:schemeClr val="phClr">
              <a:tint val="90000"/>
              <a:satMod val="130000"/>
            </a:schemeClr>
          </a:solidFill>
          <a:prstDash val="solid"/>
        </a:ln>
        <a:ln w="508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dist="381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50800" dist="381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63500" dist="38100" dir="5400000" rotWithShape="0">
              <a:srgbClr val="000000">
                <a:alpha val="45000"/>
              </a:srgbClr>
            </a:outerShdw>
          </a:effectLst>
          <a:scene3d>
            <a:camera prst="orthographicFront">
              <a:rot lat="0" lon="0" rev="0"/>
            </a:camera>
            <a:lightRig rig="glow" dir="t">
              <a:rot lat="0" lon="0" rev="6360000"/>
            </a:lightRig>
          </a:scene3d>
          <a:sp3d contourW="1000" prstMaterial="flat">
            <a:bevelT w="95250" h="101600"/>
            <a:contourClr>
              <a:schemeClr val="phClr">
                <a:satMod val="300000"/>
              </a:schemeClr>
            </a:contourClr>
          </a:sp3d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1"/>
  <sheetViews>
    <sheetView zoomScale="115" zoomScaleNormal="115" workbookViewId="0">
      <selection activeCell="C18" sqref="C18"/>
    </sheetView>
  </sheetViews>
  <sheetFormatPr defaultRowHeight="14" x14ac:dyDescent="0.3"/>
  <cols>
    <col min="1" max="1" width="16.9140625" customWidth="1"/>
    <col min="2" max="2" width="18.83203125" customWidth="1"/>
  </cols>
  <sheetData>
    <row r="1" spans="1:10" x14ac:dyDescent="0.3">
      <c r="B1" t="s">
        <v>0</v>
      </c>
      <c r="C1" s="5" t="s">
        <v>1</v>
      </c>
      <c r="D1" s="5"/>
      <c r="G1" s="1"/>
      <c r="H1" s="1"/>
      <c r="I1" s="1"/>
      <c r="J1" s="1"/>
    </row>
    <row r="2" spans="1:10" x14ac:dyDescent="0.3">
      <c r="A2" t="s">
        <v>2</v>
      </c>
      <c r="B2" t="s">
        <v>3</v>
      </c>
      <c r="C2" t="s">
        <v>3</v>
      </c>
      <c r="D2" t="s">
        <v>4</v>
      </c>
      <c r="G2" s="1"/>
      <c r="H2" s="1"/>
      <c r="I2" s="1"/>
      <c r="J2" s="1"/>
    </row>
    <row r="3" spans="1:10" x14ac:dyDescent="0.3">
      <c r="A3">
        <v>1</v>
      </c>
      <c r="B3">
        <v>1.65</v>
      </c>
      <c r="C3">
        <v>2.1</v>
      </c>
      <c r="D3" s="3" t="s">
        <v>5</v>
      </c>
      <c r="G3" s="1"/>
      <c r="H3" s="1"/>
      <c r="I3" s="1"/>
      <c r="J3" s="1"/>
    </row>
    <row r="4" spans="1:10" x14ac:dyDescent="0.3">
      <c r="A4">
        <v>2</v>
      </c>
      <c r="B4">
        <v>1.65</v>
      </c>
      <c r="C4">
        <v>2.1</v>
      </c>
      <c r="D4" s="3" t="s">
        <v>6</v>
      </c>
      <c r="G4" s="1"/>
      <c r="H4" s="1"/>
      <c r="I4" s="1"/>
      <c r="J4" s="1"/>
    </row>
    <row r="5" spans="1:10" x14ac:dyDescent="0.3">
      <c r="A5">
        <v>4</v>
      </c>
      <c r="B5">
        <v>1.65</v>
      </c>
      <c r="C5">
        <v>2.1</v>
      </c>
      <c r="D5" s="3" t="s">
        <v>7</v>
      </c>
      <c r="G5" s="1"/>
      <c r="H5" s="1"/>
      <c r="I5" s="1"/>
      <c r="J5" s="1"/>
    </row>
    <row r="6" spans="1:10" x14ac:dyDescent="0.3">
      <c r="A6">
        <v>8</v>
      </c>
      <c r="B6">
        <v>1.67</v>
      </c>
      <c r="C6">
        <v>2.1</v>
      </c>
      <c r="D6" s="3" t="s">
        <v>8</v>
      </c>
      <c r="G6" s="1"/>
      <c r="H6" s="1"/>
      <c r="I6" s="1"/>
      <c r="J6" s="1"/>
    </row>
    <row r="7" spans="1:10" x14ac:dyDescent="0.3">
      <c r="G7" s="1"/>
      <c r="H7" s="1"/>
      <c r="I7" s="1"/>
      <c r="J7" s="1"/>
    </row>
    <row r="21" spans="4:7" x14ac:dyDescent="0.3">
      <c r="D21" s="2"/>
      <c r="E21" s="2"/>
      <c r="F21" s="2"/>
      <c r="G21" s="2"/>
    </row>
  </sheetData>
  <mergeCells count="1">
    <mergeCell ref="C1:D1"/>
  </mergeCells>
  <phoneticPr fontId="1" type="noConversion"/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05C60535-1F16-4fd2-B633-F4F36F0B64E0}">
      <x14:sparklineGroups xmlns:xm="http://schemas.microsoft.com/office/excel/2006/main">
        <x14:sparklineGroup manualMax="0" manualMin="0" displayEmptyCellsAs="gap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Result!G4:G4</xm:f>
              <xm:sqref>H4</xm:sqref>
            </x14:sparkline>
          </x14:sparklines>
        </x14:sparklineGroup>
        <x14:sparklineGroup manualMax="0" manualMin="0" displayEmptyCellsAs="gap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Result!G7:G7</xm:f>
              <xm:sqref>H7</xm:sqref>
            </x14:sparkline>
          </x14:sparklines>
        </x14:sparklineGroup>
        <x14:sparklineGroup manualMax="0" manualMin="0" displayEmptyCellsAs="gap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Result!G1:G1</xm:f>
              <xm:sqref>H1</xm:sqref>
            </x14:sparkline>
          </x14:sparklines>
        </x14:sparklineGroup>
        <x14:sparklineGroup manualMax="0" manualMin="0" displayEmptyCellsAs="gap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sqref>I1</xm:sqref>
            </x14:sparkline>
          </x14:sparklines>
        </x14:sparklineGroup>
        <x14:sparklineGroup manualMax="0" manualMin="0" displayEmptyCellsAs="gap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sqref>I5</xm:sqref>
            </x14:sparkline>
          </x14:sparklines>
        </x14:sparklineGroup>
        <x14:sparklineGroup manualMax="0" manualMin="0" displayEmptyCellsAs="gap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sqref>I7</xm:sqref>
            </x14:sparkline>
          </x14:sparklines>
        </x14:sparklineGroup>
        <x14:sparklineGroup manualMax="0" manualMin="0" displayEmptyCellsAs="gap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sqref>I4</xm:sqref>
            </x14:sparkline>
          </x14:sparklines>
        </x14:sparklineGroup>
        <x14:sparklineGroup manualMax="0" manualMin="0" displayEmptyCellsAs="gap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Result!G5:G5</xm:f>
              <xm:sqref>H5</xm:sqref>
            </x14:sparkline>
          </x14:sparklines>
        </x14:sparklineGroup>
        <x14:sparklineGroup manualMax="0" manualMin="0" displayEmptyCellsAs="gap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sqref>I3</xm:sqref>
            </x14:sparkline>
          </x14:sparklines>
        </x14:sparklineGroup>
        <x14:sparklineGroup manualMax="0" manualMin="0" displayEmptyCellsAs="gap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sqref>I2</xm:sqref>
            </x14:sparkline>
          </x14:sparklines>
        </x14:sparklineGroup>
        <x14:sparklineGroup manualMax="0" manualMin="0" displayEmptyCellsAs="gap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sqref>I6</xm:sqref>
            </x14:sparkline>
          </x14:sparklines>
        </x14:sparklineGroup>
        <x14:sparklineGroup manualMax="0" manualMin="0" displayEmptyCellsAs="gap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Result!G2:G2</xm:f>
              <xm:sqref>H2</xm:sqref>
            </x14:sparkline>
            <x14:sparkline>
              <xm:f>Result!G3:G3</xm:f>
              <xm:sqref>H3</xm:sqref>
            </x14:sparkline>
            <x14:sparkline>
              <xm:f>Result!G6:G6</xm:f>
              <xm:sqref>H6</xm:sqref>
            </x14:sparkline>
          </x14:sparklines>
        </x14:sparklineGroup>
      </x14:sparklineGroup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"/>
  <sheetViews>
    <sheetView tabSelected="1" workbookViewId="0">
      <selection activeCell="B14" sqref="B14"/>
    </sheetView>
  </sheetViews>
  <sheetFormatPr defaultRowHeight="14" x14ac:dyDescent="0.3"/>
  <cols>
    <col min="1" max="1" width="34.1640625" customWidth="1"/>
  </cols>
  <sheetData>
    <row r="1" spans="1:13" ht="50" customHeight="1" x14ac:dyDescent="0.3">
      <c r="A1" s="6" t="s">
        <v>19</v>
      </c>
      <c r="B1" s="4" t="s">
        <v>9</v>
      </c>
      <c r="C1" s="4" t="s">
        <v>10</v>
      </c>
      <c r="D1" s="4" t="s">
        <v>11</v>
      </c>
      <c r="E1" s="4" t="s">
        <v>12</v>
      </c>
      <c r="F1" s="4" t="s">
        <v>9</v>
      </c>
      <c r="G1" s="4" t="s">
        <v>10</v>
      </c>
      <c r="H1" s="4" t="s">
        <v>11</v>
      </c>
      <c r="I1" s="4" t="s">
        <v>12</v>
      </c>
      <c r="J1" s="4" t="s">
        <v>9</v>
      </c>
      <c r="K1" s="4" t="s">
        <v>10</v>
      </c>
      <c r="L1" s="4" t="s">
        <v>11</v>
      </c>
      <c r="M1" s="4" t="s">
        <v>12</v>
      </c>
    </row>
    <row r="2" spans="1:13" x14ac:dyDescent="0.3">
      <c r="A2" s="4" t="s">
        <v>13</v>
      </c>
      <c r="B2" s="4">
        <v>789.85</v>
      </c>
      <c r="C2" s="4">
        <v>1573.56</v>
      </c>
      <c r="D2" s="4">
        <v>3129.9</v>
      </c>
      <c r="E2" s="4">
        <v>6286.07</v>
      </c>
      <c r="F2" s="7">
        <f>B$2/B2</f>
        <v>1</v>
      </c>
      <c r="G2" s="7">
        <f t="shared" ref="G2:I3" si="0">C$2/C2</f>
        <v>1</v>
      </c>
      <c r="H2" s="7">
        <f t="shared" si="0"/>
        <v>1</v>
      </c>
      <c r="I2" s="7">
        <f t="shared" si="0"/>
        <v>1</v>
      </c>
      <c r="J2" s="4" t="s">
        <v>14</v>
      </c>
      <c r="K2" s="4" t="s">
        <v>14</v>
      </c>
      <c r="L2" s="4" t="s">
        <v>14</v>
      </c>
      <c r="M2" s="4" t="s">
        <v>14</v>
      </c>
    </row>
    <row r="3" spans="1:13" x14ac:dyDescent="0.3">
      <c r="A3" s="4" t="s">
        <v>15</v>
      </c>
      <c r="B3" s="4">
        <v>396.3</v>
      </c>
      <c r="C3" s="4">
        <v>751.72</v>
      </c>
      <c r="D3" s="4">
        <v>1485.39</v>
      </c>
      <c r="E3" s="4">
        <v>2923.96</v>
      </c>
      <c r="F3" s="7">
        <f>B$2/B3</f>
        <v>1.9930608125157709</v>
      </c>
      <c r="G3" s="7">
        <f t="shared" si="0"/>
        <v>2.0932794125472247</v>
      </c>
      <c r="H3" s="7">
        <f t="shared" si="0"/>
        <v>2.1071233817381292</v>
      </c>
      <c r="I3" s="7">
        <f t="shared" si="0"/>
        <v>2.1498481511374985</v>
      </c>
      <c r="J3" s="4" t="s">
        <v>16</v>
      </c>
      <c r="K3" s="4" t="s">
        <v>17</v>
      </c>
      <c r="L3" s="4" t="s">
        <v>17</v>
      </c>
      <c r="M3" s="4" t="s">
        <v>17</v>
      </c>
    </row>
    <row r="4" spans="1:13" x14ac:dyDescent="0.3">
      <c r="A4" s="8" t="s">
        <v>18</v>
      </c>
      <c r="B4" s="9">
        <f>B2/B3</f>
        <v>1.9930608125157709</v>
      </c>
      <c r="C4" s="9">
        <f t="shared" ref="C4:E4" si="1">C2/C3</f>
        <v>2.0932794125472247</v>
      </c>
      <c r="D4" s="9">
        <f t="shared" si="1"/>
        <v>2.1071233817381292</v>
      </c>
      <c r="E4" s="9">
        <f t="shared" si="1"/>
        <v>2.1498481511374985</v>
      </c>
      <c r="F4" s="4"/>
      <c r="G4" s="4"/>
      <c r="H4" s="4"/>
      <c r="I4" s="4"/>
      <c r="J4" s="4"/>
      <c r="K4" s="4"/>
      <c r="L4" s="4"/>
      <c r="M4" s="4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Result</vt:lpstr>
      <vt:lpstr>Raw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2023-12-18T08:32:46Z</dcterms:modified>
</cp:coreProperties>
</file>