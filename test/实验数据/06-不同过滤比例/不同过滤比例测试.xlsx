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mp\论文写作\数据库异构加速\0001-基于FPGA的Postgresql异构加速研究\002-基于HLS的Postgresql顺序扫描查询加速研究\draft\40-基于HLS的Postgresql全表扫描异构计算研究\实验数据\06-不同过滤比例\"/>
    </mc:Choice>
  </mc:AlternateContent>
  <bookViews>
    <workbookView xWindow="0" yWindow="0" windowWidth="19200" windowHeight="7010" activeTab="2"/>
  </bookViews>
  <sheets>
    <sheet name="CPU并行查询" sheetId="1" r:id="rId1"/>
    <sheet name="pg_seqscan_v3.5.2" sheetId="2" r:id="rId2"/>
    <sheet name="数据对比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3" l="1"/>
  <c r="N2" i="3"/>
  <c r="O2" i="3"/>
  <c r="P2" i="3"/>
  <c r="M3" i="3"/>
  <c r="N3" i="3"/>
  <c r="O3" i="3"/>
  <c r="P3" i="3"/>
  <c r="M4" i="3"/>
  <c r="N4" i="3"/>
  <c r="O4" i="3"/>
  <c r="P4" i="3"/>
  <c r="M5" i="3"/>
  <c r="N5" i="3"/>
  <c r="O5" i="3"/>
  <c r="P5" i="3"/>
  <c r="L3" i="3"/>
  <c r="L4" i="3"/>
  <c r="L5" i="3"/>
  <c r="L2" i="3"/>
</calcChain>
</file>

<file path=xl/sharedStrings.xml><?xml version="1.0" encoding="utf-8"?>
<sst xmlns="http://schemas.openxmlformats.org/spreadsheetml/2006/main" count="30" uniqueCount="20">
  <si>
    <t>FPGA</t>
    <phoneticPr fontId="1" type="noConversion"/>
  </si>
  <si>
    <t>1并行</t>
    <phoneticPr fontId="1" type="noConversion"/>
  </si>
  <si>
    <t>4并行</t>
    <phoneticPr fontId="1" type="noConversion"/>
  </si>
  <si>
    <t>1.0x</t>
  </si>
  <si>
    <t>3.0x</t>
  </si>
  <si>
    <t>6.4x</t>
  </si>
  <si>
    <t>4.5x</t>
  </si>
  <si>
    <t>3.1x</t>
  </si>
  <si>
    <t>6.3x</t>
  </si>
  <si>
    <t>3.6x</t>
  </si>
  <si>
    <t>3.2x</t>
  </si>
  <si>
    <t>6.7x</t>
  </si>
  <si>
    <t>2.8x</t>
  </si>
  <si>
    <t>6.6x</t>
  </si>
  <si>
    <t>2.6x</t>
  </si>
  <si>
    <t>8并行</t>
    <phoneticPr fontId="1" type="noConversion"/>
  </si>
  <si>
    <t>12并行</t>
    <phoneticPr fontId="1" type="noConversion"/>
  </si>
  <si>
    <t>5.3x</t>
  </si>
  <si>
    <t>5.2x</t>
  </si>
  <si>
    <t>5.4x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</si>
</sst>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CPU并行查询!$A$2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CPU并行查询!$B$1:$M$1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CPU并行查询!$B$2:$M$2</c:f>
              <c:numCache>
                <c:formatCode>General</c:formatCode>
                <c:ptCount val="12"/>
                <c:pt idx="0">
                  <c:v>889.45</c:v>
                </c:pt>
                <c:pt idx="1">
                  <c:v>523.04</c:v>
                </c:pt>
                <c:pt idx="2">
                  <c:v>376.36</c:v>
                </c:pt>
                <c:pt idx="3">
                  <c:v>294.54000000000002</c:v>
                </c:pt>
                <c:pt idx="4">
                  <c:v>245.14</c:v>
                </c:pt>
                <c:pt idx="5">
                  <c:v>207.33</c:v>
                </c:pt>
                <c:pt idx="6">
                  <c:v>185.73</c:v>
                </c:pt>
                <c:pt idx="7">
                  <c:v>167.81</c:v>
                </c:pt>
                <c:pt idx="8">
                  <c:v>151.76</c:v>
                </c:pt>
                <c:pt idx="9">
                  <c:v>141.72</c:v>
                </c:pt>
                <c:pt idx="10">
                  <c:v>138.41</c:v>
                </c:pt>
                <c:pt idx="11">
                  <c:v>140.94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A2-44A9-9B9C-3F209791F9A6}"/>
            </c:ext>
          </c:extLst>
        </c:ser>
        <c:ser>
          <c:idx val="1"/>
          <c:order val="1"/>
          <c:tx>
            <c:strRef>
              <c:f>CPU并行查询!$A$3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CPU并行查询!$B$1:$M$1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CPU并行查询!$B$3:$M$3</c:f>
              <c:numCache>
                <c:formatCode>General</c:formatCode>
                <c:ptCount val="12"/>
                <c:pt idx="0">
                  <c:v>915.88</c:v>
                </c:pt>
                <c:pt idx="1">
                  <c:v>561.38</c:v>
                </c:pt>
                <c:pt idx="2">
                  <c:v>375.92</c:v>
                </c:pt>
                <c:pt idx="3">
                  <c:v>294.81</c:v>
                </c:pt>
                <c:pt idx="4">
                  <c:v>247.21</c:v>
                </c:pt>
                <c:pt idx="5">
                  <c:v>211.61</c:v>
                </c:pt>
                <c:pt idx="6">
                  <c:v>189.46</c:v>
                </c:pt>
                <c:pt idx="7">
                  <c:v>176.2</c:v>
                </c:pt>
                <c:pt idx="8">
                  <c:v>155.65</c:v>
                </c:pt>
                <c:pt idx="9">
                  <c:v>147</c:v>
                </c:pt>
                <c:pt idx="10">
                  <c:v>146.4</c:v>
                </c:pt>
                <c:pt idx="11">
                  <c:v>142.97999999999999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A2-44A9-9B9C-3F209791F9A6}"/>
            </c:ext>
          </c:extLst>
        </c:ser>
        <c:ser>
          <c:idx val="2"/>
          <c:order val="2"/>
          <c:tx>
            <c:strRef>
              <c:f>CPU并行查询!$A$4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CPU并行查询!$B$1:$M$1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CPU并行查询!$B$4:$M$4</c:f>
              <c:numCache>
                <c:formatCode>General</c:formatCode>
                <c:ptCount val="12"/>
                <c:pt idx="0">
                  <c:v>973.99</c:v>
                </c:pt>
                <c:pt idx="1">
                  <c:v>616.33000000000004</c:v>
                </c:pt>
                <c:pt idx="2">
                  <c:v>396.39</c:v>
                </c:pt>
                <c:pt idx="3">
                  <c:v>308.51</c:v>
                </c:pt>
                <c:pt idx="4">
                  <c:v>258.5</c:v>
                </c:pt>
                <c:pt idx="5">
                  <c:v>227.4</c:v>
                </c:pt>
                <c:pt idx="6">
                  <c:v>203.25</c:v>
                </c:pt>
                <c:pt idx="7">
                  <c:v>180.45</c:v>
                </c:pt>
                <c:pt idx="8">
                  <c:v>161.63</c:v>
                </c:pt>
                <c:pt idx="9">
                  <c:v>157.31</c:v>
                </c:pt>
                <c:pt idx="10">
                  <c:v>145.85</c:v>
                </c:pt>
                <c:pt idx="11">
                  <c:v>147.58000000000001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A2-44A9-9B9C-3F209791F9A6}"/>
            </c:ext>
          </c:extLst>
        </c:ser>
        <c:ser>
          <c:idx val="3"/>
          <c:order val="3"/>
          <c:tx>
            <c:strRef>
              <c:f>CPU并行查询!$A$5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CPU并行查询!$B$1:$M$1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CPU并行查询!$B$5:$M$5</c:f>
              <c:numCache>
                <c:formatCode>General</c:formatCode>
                <c:ptCount val="12"/>
                <c:pt idx="0">
                  <c:v>1007.32</c:v>
                </c:pt>
                <c:pt idx="1">
                  <c:v>624.66</c:v>
                </c:pt>
                <c:pt idx="2">
                  <c:v>418.94</c:v>
                </c:pt>
                <c:pt idx="3">
                  <c:v>327.62</c:v>
                </c:pt>
                <c:pt idx="4">
                  <c:v>264.72000000000003</c:v>
                </c:pt>
                <c:pt idx="5">
                  <c:v>231.77</c:v>
                </c:pt>
                <c:pt idx="6">
                  <c:v>204.51</c:v>
                </c:pt>
                <c:pt idx="7">
                  <c:v>187.62</c:v>
                </c:pt>
                <c:pt idx="8">
                  <c:v>170.03</c:v>
                </c:pt>
                <c:pt idx="9">
                  <c:v>160.78</c:v>
                </c:pt>
                <c:pt idx="10">
                  <c:v>153.06</c:v>
                </c:pt>
                <c:pt idx="11">
                  <c:v>150.75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A2-44A9-9B9C-3F209791F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177263"/>
        <c:axId val="557160623"/>
      </c:scatterChart>
      <c:valAx>
        <c:axId val="55717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7160623"/>
        <c:crosses val="autoZero"/>
        <c:crossBetween val="midCat"/>
      </c:valAx>
      <c:valAx>
        <c:axId val="55716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7177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数据对比!$B$1</c:f>
              <c:strCache>
                <c:ptCount val="1"/>
                <c:pt idx="0">
                  <c:v>1并行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675ACC2-081F-48EE-88ED-5ED45C39E90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5DDDCA32-8822-4F88-94AA-9D721B2033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3378680-443B-4153-BF9A-41EBE25D49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C2EC011-B86C-4EC2-A219-F9EA0C4BE10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数据对比!$A$2:$A$5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数据对比!$B$2:$B$5</c:f>
              <c:numCache>
                <c:formatCode>General</c:formatCode>
                <c:ptCount val="4"/>
                <c:pt idx="0">
                  <c:v>889.45</c:v>
                </c:pt>
                <c:pt idx="1">
                  <c:v>915.88</c:v>
                </c:pt>
                <c:pt idx="2">
                  <c:v>973.99</c:v>
                </c:pt>
                <c:pt idx="3">
                  <c:v>1007.32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数据对比!$G$2:$G$5</c15:f>
                <c15:dlblRangeCache>
                  <c:ptCount val="4"/>
                  <c:pt idx="0">
                    <c:v>1.0x</c:v>
                  </c:pt>
                  <c:pt idx="1">
                    <c:v>1.0x</c:v>
                  </c:pt>
                  <c:pt idx="2">
                    <c:v>1.0x</c:v>
                  </c:pt>
                  <c:pt idx="3">
                    <c:v>1.0x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77F-4D95-A03B-F90659F99DA5}"/>
            </c:ext>
          </c:extLst>
        </c:ser>
        <c:ser>
          <c:idx val="1"/>
          <c:order val="1"/>
          <c:tx>
            <c:strRef>
              <c:f>数据对比!$C$1</c:f>
              <c:strCache>
                <c:ptCount val="1"/>
                <c:pt idx="0">
                  <c:v>4并行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F7CFDE4D-29A3-489A-866C-FA3CFFB484F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897D427E-77FD-473B-9D46-AF0CC6CFD01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893E17C-ADE3-486B-892F-07428E75E58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90624ED-F612-4D25-8542-FF77D9DE9E2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数据对比!$A$2:$A$5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数据对比!$C$2:$C$5</c:f>
              <c:numCache>
                <c:formatCode>General</c:formatCode>
                <c:ptCount val="4"/>
                <c:pt idx="0">
                  <c:v>294.54000000000002</c:v>
                </c:pt>
                <c:pt idx="1">
                  <c:v>294.81</c:v>
                </c:pt>
                <c:pt idx="2">
                  <c:v>308.51</c:v>
                </c:pt>
                <c:pt idx="3">
                  <c:v>327.62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数据对比!$H$2:$H$5</c15:f>
                <c15:dlblRangeCache>
                  <c:ptCount val="4"/>
                  <c:pt idx="0">
                    <c:v>3.0x</c:v>
                  </c:pt>
                  <c:pt idx="1">
                    <c:v>3.1x</c:v>
                  </c:pt>
                  <c:pt idx="2">
                    <c:v>3.2x</c:v>
                  </c:pt>
                  <c:pt idx="3">
                    <c:v>3.1x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77F-4D95-A03B-F90659F99DA5}"/>
            </c:ext>
          </c:extLst>
        </c:ser>
        <c:ser>
          <c:idx val="2"/>
          <c:order val="2"/>
          <c:tx>
            <c:strRef>
              <c:f>数据对比!$D$1</c:f>
              <c:strCache>
                <c:ptCount val="1"/>
                <c:pt idx="0">
                  <c:v>8并行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36B033F0-70EA-43D4-990E-DF5F4158EAA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06A7E0C1-D2E5-4876-846F-F4201C5495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E770B7BA-2830-4E84-B5FD-CEF5A03DCE7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0C3803A-4E0A-44AC-9FE9-7E0F45DB35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数据对比!$A$2:$A$5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数据对比!$D$2:$D$5</c:f>
              <c:numCache>
                <c:formatCode>General</c:formatCode>
                <c:ptCount val="4"/>
                <c:pt idx="0">
                  <c:v>167.81</c:v>
                </c:pt>
                <c:pt idx="1">
                  <c:v>176.2</c:v>
                </c:pt>
                <c:pt idx="2">
                  <c:v>180.45</c:v>
                </c:pt>
                <c:pt idx="3">
                  <c:v>187.62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数据对比!$I$2:$I$5</c15:f>
                <c15:dlblRangeCache>
                  <c:ptCount val="4"/>
                  <c:pt idx="0">
                    <c:v>5.3x</c:v>
                  </c:pt>
                  <c:pt idx="1">
                    <c:v>5.2x</c:v>
                  </c:pt>
                  <c:pt idx="2">
                    <c:v>5.4x</c:v>
                  </c:pt>
                  <c:pt idx="3">
                    <c:v>5.4x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077F-4D95-A03B-F90659F99DA5}"/>
            </c:ext>
          </c:extLst>
        </c:ser>
        <c:ser>
          <c:idx val="3"/>
          <c:order val="3"/>
          <c:tx>
            <c:strRef>
              <c:f>数据对比!$E$1</c:f>
              <c:strCache>
                <c:ptCount val="1"/>
                <c:pt idx="0">
                  <c:v>12并行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3B12129-5E64-490B-B9A4-2DACCB002BA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DDD5537-4AAF-429D-87C8-0BDA8433B8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07D27E1-C73E-4E7B-89AE-178068E1CC9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616A3F53-26C2-4C64-9C73-C6A8A8D7E0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cat>
            <c:numRef>
              <c:f>数据对比!$A$2:$A$5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数据对比!$E$2:$E$5</c:f>
              <c:numCache>
                <c:formatCode>General</c:formatCode>
                <c:ptCount val="4"/>
                <c:pt idx="0">
                  <c:v>140.94</c:v>
                </c:pt>
                <c:pt idx="1">
                  <c:v>142.97999999999999</c:v>
                </c:pt>
                <c:pt idx="2">
                  <c:v>147.58000000000001</c:v>
                </c:pt>
                <c:pt idx="3">
                  <c:v>150.75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数据对比!$J$2:$J$5</c15:f>
                <c15:dlblRangeCache>
                  <c:ptCount val="4"/>
                  <c:pt idx="0">
                    <c:v>6.3x</c:v>
                  </c:pt>
                  <c:pt idx="1">
                    <c:v>6.4x</c:v>
                  </c:pt>
                  <c:pt idx="2">
                    <c:v>6.6x</c:v>
                  </c:pt>
                  <c:pt idx="3">
                    <c:v>6.7x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077F-4D95-A03B-F90659F99DA5}"/>
            </c:ext>
          </c:extLst>
        </c:ser>
        <c:ser>
          <c:idx val="4"/>
          <c:order val="4"/>
          <c:tx>
            <c:strRef>
              <c:f>数据对比!$F$1</c:f>
              <c:strCache>
                <c:ptCount val="1"/>
                <c:pt idx="0">
                  <c:v>FPGA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1308D933-EAB8-4077-AACC-188E722C64E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DD19A03-014A-4EF6-BD05-BD5A5AE8C0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21143623-A532-4407-BDC0-3F78D438A0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05216EED-5CE5-4D52-9C4A-C71B85EF4CA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数据对比!$A$2:$A$5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数据对比!$F$2:$F$5</c:f>
              <c:numCache>
                <c:formatCode>General</c:formatCode>
                <c:ptCount val="4"/>
                <c:pt idx="0">
                  <c:v>197.22</c:v>
                </c:pt>
                <c:pt idx="1">
                  <c:v>257.8</c:v>
                </c:pt>
                <c:pt idx="2">
                  <c:v>350.43</c:v>
                </c:pt>
                <c:pt idx="3">
                  <c:v>389.6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数据对比!$K$2:$K$5</c15:f>
                <c15:dlblRangeCache>
                  <c:ptCount val="4"/>
                  <c:pt idx="0">
                    <c:v>4.5x</c:v>
                  </c:pt>
                  <c:pt idx="1">
                    <c:v>3.6x</c:v>
                  </c:pt>
                  <c:pt idx="2">
                    <c:v>2.8x</c:v>
                  </c:pt>
                  <c:pt idx="3">
                    <c:v>2.6x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077F-4D95-A03B-F90659F99D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6513487"/>
        <c:axId val="516514319"/>
      </c:barChart>
      <c:catAx>
        <c:axId val="51651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符合条件比例</a:t>
                </a:r>
                <a:r>
                  <a:rPr lang="en-US" sz="900"/>
                  <a:t>%</a:t>
                </a:r>
                <a:endParaRPr lang="zh-CN" sz="9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514319"/>
        <c:crosses val="autoZero"/>
        <c:auto val="1"/>
        <c:lblAlgn val="ctr"/>
        <c:lblOffset val="100"/>
        <c:noMultiLvlLbl val="0"/>
      </c:catAx>
      <c:valAx>
        <c:axId val="5165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查询时间</a:t>
                </a:r>
                <a:r>
                  <a:rPr lang="en-US" sz="900"/>
                  <a:t>ms</a:t>
                </a:r>
                <a:endParaRPr lang="zh-CN" sz="9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51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6</xdr:row>
      <xdr:rowOff>107950</xdr:rowOff>
    </xdr:from>
    <xdr:to>
      <xdr:col>7</xdr:col>
      <xdr:colOff>212725</xdr:colOff>
      <xdr:row>22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454025</xdr:colOff>
      <xdr:row>6</xdr:row>
      <xdr:rowOff>120650</xdr:rowOff>
    </xdr:from>
    <xdr:to>
      <xdr:col>8</xdr:col>
      <xdr:colOff>158751</xdr:colOff>
      <xdr:row>21</xdr:row>
      <xdr:rowOff>101600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M1" sqref="M1:M5"/>
    </sheetView>
  </sheetViews>
  <sheetFormatPr defaultRowHeight="14" x14ac:dyDescent="0.3"/>
  <sheetData>
    <row r="1" spans="1:13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">
      <c r="A2">
        <v>20</v>
      </c>
      <c r="B2">
        <v>889.45</v>
      </c>
      <c r="C2">
        <v>523.04</v>
      </c>
      <c r="D2">
        <v>376.36</v>
      </c>
      <c r="E2">
        <v>294.54000000000002</v>
      </c>
      <c r="F2">
        <v>245.14</v>
      </c>
      <c r="G2">
        <v>207.33</v>
      </c>
      <c r="H2">
        <v>185.73</v>
      </c>
      <c r="I2">
        <v>167.81</v>
      </c>
      <c r="J2">
        <v>151.76</v>
      </c>
      <c r="K2">
        <v>141.72</v>
      </c>
      <c r="L2">
        <v>138.41</v>
      </c>
      <c r="M2">
        <v>140.94</v>
      </c>
    </row>
    <row r="3" spans="1:13" x14ac:dyDescent="0.3">
      <c r="A3">
        <v>40</v>
      </c>
      <c r="B3">
        <v>915.88</v>
      </c>
      <c r="C3">
        <v>561.38</v>
      </c>
      <c r="D3">
        <v>375.92</v>
      </c>
      <c r="E3">
        <v>294.81</v>
      </c>
      <c r="F3">
        <v>247.21</v>
      </c>
      <c r="G3">
        <v>211.61</v>
      </c>
      <c r="H3">
        <v>189.46</v>
      </c>
      <c r="I3">
        <v>176.2</v>
      </c>
      <c r="J3">
        <v>155.65</v>
      </c>
      <c r="K3">
        <v>147</v>
      </c>
      <c r="L3">
        <v>146.4</v>
      </c>
      <c r="M3">
        <v>142.97999999999999</v>
      </c>
    </row>
    <row r="4" spans="1:13" x14ac:dyDescent="0.3">
      <c r="A4">
        <v>60</v>
      </c>
      <c r="B4">
        <v>973.99</v>
      </c>
      <c r="C4">
        <v>616.33000000000004</v>
      </c>
      <c r="D4">
        <v>396.39</v>
      </c>
      <c r="E4">
        <v>308.51</v>
      </c>
      <c r="F4">
        <v>258.5</v>
      </c>
      <c r="G4">
        <v>227.4</v>
      </c>
      <c r="H4">
        <v>203.25</v>
      </c>
      <c r="I4">
        <v>180.45</v>
      </c>
      <c r="J4">
        <v>161.63</v>
      </c>
      <c r="K4">
        <v>157.31</v>
      </c>
      <c r="L4">
        <v>145.85</v>
      </c>
      <c r="M4">
        <v>147.58000000000001</v>
      </c>
    </row>
    <row r="5" spans="1:13" x14ac:dyDescent="0.3">
      <c r="A5">
        <v>80</v>
      </c>
      <c r="B5">
        <v>1007.32</v>
      </c>
      <c r="C5">
        <v>624.66</v>
      </c>
      <c r="D5">
        <v>418.94</v>
      </c>
      <c r="E5">
        <v>327.62</v>
      </c>
      <c r="F5">
        <v>264.72000000000003</v>
      </c>
      <c r="G5">
        <v>231.77</v>
      </c>
      <c r="H5">
        <v>204.51</v>
      </c>
      <c r="I5">
        <v>187.62</v>
      </c>
      <c r="J5">
        <v>170.03</v>
      </c>
      <c r="K5">
        <v>160.78</v>
      </c>
      <c r="L5">
        <v>153.06</v>
      </c>
      <c r="M5">
        <v>150.75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G17" sqref="G17"/>
    </sheetView>
  </sheetViews>
  <sheetFormatPr defaultRowHeight="14" x14ac:dyDescent="0.3"/>
  <sheetData>
    <row r="1" spans="1:12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</row>
    <row r="2" spans="1:12" x14ac:dyDescent="0.3">
      <c r="A2">
        <v>197.22</v>
      </c>
      <c r="B2">
        <v>192.27</v>
      </c>
      <c r="C2">
        <v>205.4</v>
      </c>
      <c r="D2">
        <v>193.42</v>
      </c>
      <c r="E2">
        <v>196.2</v>
      </c>
      <c r="F2">
        <v>193.2</v>
      </c>
      <c r="G2">
        <v>198.68</v>
      </c>
      <c r="H2">
        <v>197.9</v>
      </c>
      <c r="I2">
        <v>207.66</v>
      </c>
      <c r="J2">
        <v>201.23</v>
      </c>
      <c r="K2">
        <v>200.46</v>
      </c>
      <c r="L2">
        <v>197.88</v>
      </c>
    </row>
    <row r="3" spans="1:12" x14ac:dyDescent="0.3">
      <c r="A3">
        <v>257.8</v>
      </c>
      <c r="B3">
        <v>260.3</v>
      </c>
      <c r="C3">
        <v>257.04000000000002</v>
      </c>
      <c r="D3">
        <v>255.55</v>
      </c>
      <c r="E3">
        <v>264.75</v>
      </c>
      <c r="F3">
        <v>257.77</v>
      </c>
      <c r="G3">
        <v>260.14</v>
      </c>
      <c r="H3">
        <v>254.55</v>
      </c>
      <c r="I3">
        <v>262.33999999999997</v>
      </c>
      <c r="J3">
        <v>247.99</v>
      </c>
      <c r="K3">
        <v>249.14</v>
      </c>
      <c r="L3">
        <v>252.73</v>
      </c>
    </row>
    <row r="4" spans="1:12" x14ac:dyDescent="0.3">
      <c r="A4">
        <v>350.43</v>
      </c>
      <c r="B4">
        <v>350.17</v>
      </c>
      <c r="C4">
        <v>335.45</v>
      </c>
      <c r="D4">
        <v>323.64999999999998</v>
      </c>
      <c r="E4">
        <v>337.08</v>
      </c>
      <c r="F4">
        <v>332.81</v>
      </c>
      <c r="G4">
        <v>315.52</v>
      </c>
      <c r="H4">
        <v>327.61</v>
      </c>
      <c r="I4">
        <v>342.19</v>
      </c>
      <c r="J4">
        <v>359.59</v>
      </c>
      <c r="K4">
        <v>379.13</v>
      </c>
      <c r="L4">
        <v>357.93</v>
      </c>
    </row>
    <row r="5" spans="1:12" x14ac:dyDescent="0.3">
      <c r="A5">
        <v>389.6</v>
      </c>
      <c r="B5">
        <v>411.95</v>
      </c>
      <c r="C5">
        <v>428.45</v>
      </c>
      <c r="D5">
        <v>418.01</v>
      </c>
      <c r="E5">
        <v>415.56</v>
      </c>
      <c r="F5">
        <v>422.52</v>
      </c>
      <c r="G5">
        <v>400.1</v>
      </c>
      <c r="H5">
        <v>388.98</v>
      </c>
      <c r="I5">
        <v>394.61</v>
      </c>
      <c r="J5">
        <v>384.98</v>
      </c>
      <c r="K5">
        <v>377.16</v>
      </c>
      <c r="L5">
        <v>400.59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L11" sqref="L11"/>
    </sheetView>
  </sheetViews>
  <sheetFormatPr defaultRowHeight="14" x14ac:dyDescent="0.3"/>
  <cols>
    <col min="1" max="6" width="8.6640625" style="1"/>
  </cols>
  <sheetData>
    <row r="1" spans="1:16" x14ac:dyDescent="0.3">
      <c r="B1" s="1" t="s">
        <v>1</v>
      </c>
      <c r="C1" s="1" t="s">
        <v>2</v>
      </c>
      <c r="D1" s="1" t="s">
        <v>15</v>
      </c>
      <c r="E1" s="1" t="s">
        <v>16</v>
      </c>
      <c r="F1" s="1" t="s">
        <v>0</v>
      </c>
      <c r="G1" s="1" t="s">
        <v>1</v>
      </c>
      <c r="H1" s="1" t="s">
        <v>2</v>
      </c>
      <c r="I1" s="1" t="s">
        <v>15</v>
      </c>
      <c r="J1" s="1" t="s">
        <v>16</v>
      </c>
      <c r="K1" s="1" t="s">
        <v>0</v>
      </c>
    </row>
    <row r="2" spans="1:16" x14ac:dyDescent="0.3">
      <c r="A2" s="1">
        <v>20</v>
      </c>
      <c r="B2" s="1">
        <v>889.45</v>
      </c>
      <c r="C2" s="1">
        <v>294.54000000000002</v>
      </c>
      <c r="D2" s="1">
        <v>167.81</v>
      </c>
      <c r="E2" s="1">
        <v>140.94</v>
      </c>
      <c r="F2" s="1">
        <v>197.22</v>
      </c>
      <c r="G2" t="s">
        <v>3</v>
      </c>
      <c r="H2" t="s">
        <v>4</v>
      </c>
      <c r="I2" t="s">
        <v>17</v>
      </c>
      <c r="J2" t="s">
        <v>8</v>
      </c>
      <c r="K2" t="s">
        <v>6</v>
      </c>
      <c r="L2" s="2">
        <f>$B2/B2</f>
        <v>1</v>
      </c>
      <c r="M2" s="2">
        <f t="shared" ref="M2:P5" si="0">$B2/C2</f>
        <v>3.0197935764242545</v>
      </c>
      <c r="N2" s="2">
        <f t="shared" si="0"/>
        <v>5.3003396698647283</v>
      </c>
      <c r="O2" s="2">
        <f t="shared" si="0"/>
        <v>6.3108414928338306</v>
      </c>
      <c r="P2" s="2">
        <f t="shared" si="0"/>
        <v>4.5099381401480585</v>
      </c>
    </row>
    <row r="3" spans="1:16" x14ac:dyDescent="0.3">
      <c r="A3" s="1">
        <v>40</v>
      </c>
      <c r="B3" s="1">
        <v>915.88</v>
      </c>
      <c r="C3" s="1">
        <v>294.81</v>
      </c>
      <c r="D3" s="1">
        <v>176.2</v>
      </c>
      <c r="E3" s="1">
        <v>142.97999999999999</v>
      </c>
      <c r="F3" s="1">
        <v>257.8</v>
      </c>
      <c r="G3" t="s">
        <v>3</v>
      </c>
      <c r="H3" t="s">
        <v>7</v>
      </c>
      <c r="I3" t="s">
        <v>18</v>
      </c>
      <c r="J3" t="s">
        <v>5</v>
      </c>
      <c r="K3" t="s">
        <v>9</v>
      </c>
      <c r="L3" s="2">
        <f t="shared" ref="L3:L5" si="1">$B3/B3</f>
        <v>1</v>
      </c>
      <c r="M3" s="2">
        <f t="shared" si="0"/>
        <v>3.106678877921373</v>
      </c>
      <c r="N3" s="2">
        <f t="shared" si="0"/>
        <v>5.1979568671963685</v>
      </c>
      <c r="O3" s="2">
        <f t="shared" si="0"/>
        <v>6.4056511400195832</v>
      </c>
      <c r="P3" s="2">
        <f t="shared" si="0"/>
        <v>3.5526764934057407</v>
      </c>
    </row>
    <row r="4" spans="1:16" x14ac:dyDescent="0.3">
      <c r="A4" s="1">
        <v>60</v>
      </c>
      <c r="B4" s="1">
        <v>973.99</v>
      </c>
      <c r="C4" s="1">
        <v>308.51</v>
      </c>
      <c r="D4" s="1">
        <v>180.45</v>
      </c>
      <c r="E4" s="1">
        <v>147.58000000000001</v>
      </c>
      <c r="F4" s="1">
        <v>350.43</v>
      </c>
      <c r="G4" t="s">
        <v>3</v>
      </c>
      <c r="H4" t="s">
        <v>10</v>
      </c>
      <c r="I4" t="s">
        <v>19</v>
      </c>
      <c r="J4" t="s">
        <v>13</v>
      </c>
      <c r="K4" t="s">
        <v>12</v>
      </c>
      <c r="L4" s="2">
        <f t="shared" si="1"/>
        <v>1</v>
      </c>
      <c r="M4" s="2">
        <f t="shared" si="0"/>
        <v>3.1570775663673789</v>
      </c>
      <c r="N4" s="2">
        <f t="shared" si="0"/>
        <v>5.3975616514269884</v>
      </c>
      <c r="O4" s="2">
        <f t="shared" si="0"/>
        <v>6.5997425125355731</v>
      </c>
      <c r="P4" s="2">
        <f t="shared" si="0"/>
        <v>2.7794138629683531</v>
      </c>
    </row>
    <row r="5" spans="1:16" x14ac:dyDescent="0.3">
      <c r="A5" s="1">
        <v>80</v>
      </c>
      <c r="B5" s="1">
        <v>1007.32</v>
      </c>
      <c r="C5" s="1">
        <v>327.62</v>
      </c>
      <c r="D5" s="1">
        <v>187.62</v>
      </c>
      <c r="E5" s="1">
        <v>150.75</v>
      </c>
      <c r="F5" s="1">
        <v>389.6</v>
      </c>
      <c r="G5" t="s">
        <v>3</v>
      </c>
      <c r="H5" t="s">
        <v>7</v>
      </c>
      <c r="I5" t="s">
        <v>19</v>
      </c>
      <c r="J5" t="s">
        <v>11</v>
      </c>
      <c r="K5" t="s">
        <v>14</v>
      </c>
      <c r="L5" s="2">
        <f t="shared" si="1"/>
        <v>1</v>
      </c>
      <c r="M5" s="2">
        <f t="shared" si="0"/>
        <v>3.0746596666870154</v>
      </c>
      <c r="N5" s="2">
        <f t="shared" si="0"/>
        <v>5.3689372135166824</v>
      </c>
      <c r="O5" s="2">
        <f t="shared" si="0"/>
        <v>6.6820563847429524</v>
      </c>
      <c r="P5" s="2">
        <f t="shared" si="0"/>
        <v>2.5855236139630389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CPU并行查询</vt:lpstr>
      <vt:lpstr>pg_seqscan_v3.5.2</vt:lpstr>
      <vt:lpstr>数据对比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 Liu (刘科)-云数据中心集团</dc:creator>
  <cp:lastModifiedBy>Liuke Liu (刘科)-云数据中心集团</cp:lastModifiedBy>
  <dcterms:created xsi:type="dcterms:W3CDTF">2022-03-14T09:31:03Z</dcterms:created>
  <dcterms:modified xsi:type="dcterms:W3CDTF">2022-04-14T08:07:14Z</dcterms:modified>
</cp:coreProperties>
</file>