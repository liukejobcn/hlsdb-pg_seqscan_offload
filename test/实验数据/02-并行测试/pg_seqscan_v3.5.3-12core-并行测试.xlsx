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firstSheet="1" activeTab="4"/>
  </bookViews>
  <sheets>
    <sheet name="CPU查询时间" sheetId="1" r:id="rId1"/>
    <sheet name="CPU负载" sheetId="2" r:id="rId2"/>
    <sheet name="FPGA查询时间" sheetId="3" r:id="rId3"/>
    <sheet name="FPGA负载" sheetId="4" r:id="rId4"/>
    <sheet name="特性对比" sheetId="9" r:id="rId5"/>
    <sheet name="性能对比" sheetId="7" r:id="rId6"/>
  </sheets>
  <externalReferences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7" l="1"/>
  <c r="D13" i="7"/>
  <c r="D12" i="7"/>
  <c r="D11" i="7"/>
  <c r="D10" i="7"/>
  <c r="D9" i="7"/>
  <c r="D8" i="7"/>
  <c r="D7" i="7"/>
  <c r="D6" i="7"/>
  <c r="D5" i="7"/>
  <c r="D4" i="7"/>
  <c r="D3" i="7"/>
  <c r="D2" i="7"/>
</calcChain>
</file>

<file path=xl/sharedStrings.xml><?xml version="1.0" encoding="utf-8"?>
<sst xmlns="http://schemas.openxmlformats.org/spreadsheetml/2006/main" count="30" uniqueCount="21">
  <si>
    <t xml:space="preserve"> </t>
  </si>
  <si>
    <t xml:space="preserve">  </t>
  </si>
  <si>
    <t>查询时间</t>
    <phoneticPr fontId="1" type="noConversion"/>
  </si>
  <si>
    <t>CPU使用率</t>
    <phoneticPr fontId="1" type="noConversion"/>
  </si>
  <si>
    <t xml:space="preserve">  </t>
    <phoneticPr fontId="1" type="noConversion"/>
  </si>
  <si>
    <t>加速比</t>
    <phoneticPr fontId="1" type="noConversion"/>
  </si>
  <si>
    <t>1.0x</t>
  </si>
  <si>
    <t>3.1x</t>
  </si>
  <si>
    <t>3.8x</t>
  </si>
  <si>
    <t>4.3x</t>
  </si>
  <si>
    <t>4.9x</t>
  </si>
  <si>
    <t>5.4x</t>
  </si>
  <si>
    <t>5.8x</t>
  </si>
  <si>
    <t>7.0x</t>
  </si>
  <si>
    <t>FPGA</t>
    <phoneticPr fontId="1" type="noConversion"/>
  </si>
  <si>
    <t>1.8x</t>
  </si>
  <si>
    <t>2.5x</t>
  </si>
  <si>
    <t>6.2x</t>
  </si>
  <si>
    <t>6.5x</t>
  </si>
  <si>
    <t>CPU查询</t>
    <phoneticPr fontId="1" type="noConversion"/>
  </si>
  <si>
    <t>CPU+FPGA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</si>
</sst>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特性对比!$B$2</c:f>
              <c:strCache>
                <c:ptCount val="1"/>
                <c:pt idx="0">
                  <c:v>查询时间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特性对比!$A$3:$A$14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特性对比!$B$3:$B$14</c:f>
              <c:numCache>
                <c:formatCode>General</c:formatCode>
                <c:ptCount val="12"/>
                <c:pt idx="0">
                  <c:v>805.95</c:v>
                </c:pt>
                <c:pt idx="1">
                  <c:v>458.86399999999998</c:v>
                </c:pt>
                <c:pt idx="2">
                  <c:v>326.649</c:v>
                </c:pt>
                <c:pt idx="3">
                  <c:v>256.517</c:v>
                </c:pt>
                <c:pt idx="4">
                  <c:v>214.28299999999999</c:v>
                </c:pt>
                <c:pt idx="5">
                  <c:v>186.49700000000001</c:v>
                </c:pt>
                <c:pt idx="6">
                  <c:v>164.11600000000001</c:v>
                </c:pt>
                <c:pt idx="7">
                  <c:v>149.56200000000001</c:v>
                </c:pt>
                <c:pt idx="8">
                  <c:v>138.24600000000001</c:v>
                </c:pt>
                <c:pt idx="9">
                  <c:v>129.55600000000001</c:v>
                </c:pt>
                <c:pt idx="10">
                  <c:v>123.164</c:v>
                </c:pt>
                <c:pt idx="11">
                  <c:v>114.363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7C-48E3-9CE5-34E9D5EDC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36127"/>
        <c:axId val="182240287"/>
      </c:scatterChart>
      <c:scatterChart>
        <c:scatterStyle val="smoothMarker"/>
        <c:varyColors val="0"/>
        <c:ser>
          <c:idx val="1"/>
          <c:order val="1"/>
          <c:tx>
            <c:strRef>
              <c:f>特性对比!$C$2</c:f>
              <c:strCache>
                <c:ptCount val="1"/>
                <c:pt idx="0">
                  <c:v>CPU使用率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特性对比!$A$3:$A$14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特性对比!$C$3:$C$14</c:f>
              <c:numCache>
                <c:formatCode>General</c:formatCode>
                <c:ptCount val="12"/>
                <c:pt idx="0">
                  <c:v>8.61</c:v>
                </c:pt>
                <c:pt idx="1">
                  <c:v>17.3</c:v>
                </c:pt>
                <c:pt idx="2">
                  <c:v>25.58</c:v>
                </c:pt>
                <c:pt idx="3">
                  <c:v>34.630000000000003</c:v>
                </c:pt>
                <c:pt idx="4">
                  <c:v>42.25</c:v>
                </c:pt>
                <c:pt idx="5">
                  <c:v>50.27</c:v>
                </c:pt>
                <c:pt idx="6">
                  <c:v>58.45</c:v>
                </c:pt>
                <c:pt idx="7">
                  <c:v>66.3</c:v>
                </c:pt>
                <c:pt idx="8">
                  <c:v>74.16</c:v>
                </c:pt>
                <c:pt idx="9">
                  <c:v>82.05</c:v>
                </c:pt>
                <c:pt idx="10">
                  <c:v>89.75</c:v>
                </c:pt>
                <c:pt idx="11">
                  <c:v>96.91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7C-48E3-9CE5-34E9D5EDC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481199"/>
        <c:axId val="407486607"/>
      </c:scatterChart>
      <c:valAx>
        <c:axId val="182236127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并行查询数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240287"/>
        <c:crosses val="autoZero"/>
        <c:crossBetween val="midCat"/>
        <c:majorUnit val="1"/>
      </c:valAx>
      <c:valAx>
        <c:axId val="18224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查询时间</a:t>
                </a:r>
                <a:r>
                  <a:rPr lang="en-US" altLang="zh-CN"/>
                  <a:t>ms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236127"/>
        <c:crosses val="autoZero"/>
        <c:crossBetween val="midCat"/>
      </c:valAx>
      <c:valAx>
        <c:axId val="407486607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CPU</a:t>
                </a:r>
                <a:r>
                  <a:rPr lang="zh-CN" altLang="en-US"/>
                  <a:t>使用率</a:t>
                </a:r>
                <a:r>
                  <a:rPr lang="en-US" altLang="zh-CN"/>
                  <a:t>%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481199"/>
        <c:crosses val="max"/>
        <c:crossBetween val="midCat"/>
      </c:valAx>
      <c:valAx>
        <c:axId val="407481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7486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特性对比!$D$2</c:f>
              <c:strCache>
                <c:ptCount val="1"/>
                <c:pt idx="0">
                  <c:v>查询时间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特性对比!$A$3:$A$10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特性对比!$D$3:$D$10</c:f>
              <c:numCache>
                <c:formatCode>General</c:formatCode>
                <c:ptCount val="8"/>
                <c:pt idx="0">
                  <c:v>383.19299999999998</c:v>
                </c:pt>
                <c:pt idx="1">
                  <c:v>214.43899999999999</c:v>
                </c:pt>
                <c:pt idx="2">
                  <c:v>157.85300000000001</c:v>
                </c:pt>
                <c:pt idx="3">
                  <c:v>150.56299999999999</c:v>
                </c:pt>
                <c:pt idx="4">
                  <c:v>150.81</c:v>
                </c:pt>
                <c:pt idx="5">
                  <c:v>152.185</c:v>
                </c:pt>
                <c:pt idx="6">
                  <c:v>152.60599999999999</c:v>
                </c:pt>
                <c:pt idx="7">
                  <c:v>154.71899999999999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D5-4C7A-A8A2-D36B8F02B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985663"/>
        <c:axId val="409974431"/>
      </c:scatterChart>
      <c:scatterChart>
        <c:scatterStyle val="smoothMarker"/>
        <c:varyColors val="0"/>
        <c:ser>
          <c:idx val="1"/>
          <c:order val="1"/>
          <c:tx>
            <c:strRef>
              <c:f>特性对比!$E$2</c:f>
              <c:strCache>
                <c:ptCount val="1"/>
                <c:pt idx="0">
                  <c:v>CPU使用率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特性对比!$A$3:$A$10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特性对比!$E$3:$E$10</c:f>
              <c:numCache>
                <c:formatCode>General</c:formatCode>
                <c:ptCount val="8"/>
                <c:pt idx="0">
                  <c:v>13.32</c:v>
                </c:pt>
                <c:pt idx="1">
                  <c:v>23.33</c:v>
                </c:pt>
                <c:pt idx="2">
                  <c:v>30</c:v>
                </c:pt>
                <c:pt idx="3">
                  <c:v>31.65</c:v>
                </c:pt>
                <c:pt idx="4">
                  <c:v>32.06</c:v>
                </c:pt>
                <c:pt idx="5">
                  <c:v>34.729999999999997</c:v>
                </c:pt>
                <c:pt idx="6">
                  <c:v>35.26</c:v>
                </c:pt>
                <c:pt idx="7">
                  <c:v>36.57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D5-4C7A-A8A2-D36B8F02B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34879"/>
        <c:axId val="182239455"/>
      </c:scatterChart>
      <c:valAx>
        <c:axId val="409985663"/>
        <c:scaling>
          <c:orientation val="minMax"/>
          <c:max val="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工作者线程数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9974431"/>
        <c:crosses val="autoZero"/>
        <c:crossBetween val="midCat"/>
      </c:valAx>
      <c:valAx>
        <c:axId val="40997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查询时间</a:t>
                </a:r>
                <a:r>
                  <a:rPr lang="en-US" altLang="zh-CN"/>
                  <a:t>ms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9985663"/>
        <c:crosses val="autoZero"/>
        <c:crossBetween val="midCat"/>
      </c:valAx>
      <c:valAx>
        <c:axId val="18223945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CPU</a:t>
                </a:r>
                <a:r>
                  <a:rPr lang="zh-CN" altLang="en-US"/>
                  <a:t>使用率</a:t>
                </a:r>
                <a:r>
                  <a:rPr lang="en-US" altLang="zh-CN"/>
                  <a:t>%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234879"/>
        <c:crosses val="max"/>
        <c:crossBetween val="midCat"/>
      </c:valAx>
      <c:valAx>
        <c:axId val="1822348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23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性能对比!$B$1</c:f>
              <c:strCache>
                <c:ptCount val="1"/>
                <c:pt idx="0">
                  <c:v>查询时间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18EA6A9A-BF02-4687-890E-6AE3A0E668C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A0D-4DB0-9359-8A489DBC3589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AA5A36EE-C639-4AB1-A7BD-341696490E3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A0D-4DB0-9359-8A489DBC3589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0844EED9-1153-4D98-8BE2-20A3BA0D58E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A0D-4DB0-9359-8A489DBC3589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FD1B753D-664C-4139-9C02-503422DAEF9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A0D-4DB0-9359-8A489DBC3589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4FBC8D35-2AF8-4253-8A7F-851B65D392A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A0D-4DB0-9359-8A489DBC3589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C570FF1D-1C4B-43C0-BE13-36E3CFD0105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A0D-4DB0-9359-8A489DBC3589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258E37AF-D5FD-4027-A00D-B1E91B00FB6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A0D-4DB0-9359-8A489DBC3589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4B37424D-E95A-4EF8-ABA8-F6FE6498780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A0D-4DB0-9359-8A489DBC3589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0AF5B72E-AE34-4BA3-8178-62A02C80AD4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A0D-4DB0-9359-8A489DBC3589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1D7AB648-4057-4AC5-A0DE-716D979E0B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A0D-4DB0-9359-8A489DBC3589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3F46C222-CE6E-4621-9104-66105EAADA8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A0D-4DB0-9359-8A489DBC3589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816FA79C-9CBD-4D85-829D-E8B6762ADBC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A0D-4DB0-9359-8A489DBC3589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601D6631-BF7D-475F-95D3-FC328456F91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A0D-4DB0-9359-8A489DBC35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</c:ext>
            </c:extLst>
          </c:dLbls>
          <c:val>
            <c:numRef>
              <c:f>[1]空载对比!$B$2:$B$14</c:f>
              <c:numCache>
                <c:formatCode>General</c:formatCode>
                <c:ptCount val="13"/>
                <c:pt idx="0">
                  <c:v>803.899</c:v>
                </c:pt>
                <c:pt idx="1">
                  <c:v>460.06</c:v>
                </c:pt>
                <c:pt idx="2">
                  <c:v>329.28899999999999</c:v>
                </c:pt>
                <c:pt idx="3">
                  <c:v>255.93299999999999</c:v>
                </c:pt>
                <c:pt idx="4">
                  <c:v>214.24799999999999</c:v>
                </c:pt>
                <c:pt idx="5">
                  <c:v>185.84299999999999</c:v>
                </c:pt>
                <c:pt idx="6">
                  <c:v>165.31800000000001</c:v>
                </c:pt>
                <c:pt idx="7">
                  <c:v>149.76400000000001</c:v>
                </c:pt>
                <c:pt idx="8">
                  <c:v>138.35400000000001</c:v>
                </c:pt>
                <c:pt idx="9">
                  <c:v>127.51300000000001</c:v>
                </c:pt>
                <c:pt idx="10">
                  <c:v>116.499</c:v>
                </c:pt>
                <c:pt idx="11">
                  <c:v>114.121</c:v>
                </c:pt>
                <c:pt idx="12">
                  <c:v>150.56299999999999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[1]空载对比!$A$2:$A$14</c15:sqref>
                        </c15:formulaRef>
                      </c:ext>
                    </c:extLst>
                    <c:strCach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FPGA</c:v>
                      </c:pt>
                    </c:strCache>
                  </c:strRef>
                </c15:cat>
              </c15:filteredCategoryTitle>
            </c:ext>
            <c:ext xmlns:c15="http://schemas.microsoft.com/office/drawing/2012/chart" uri="{02D57815-91ED-43cb-92C2-25804820EDAC}">
              <c15:datalabelsRange>
                <c15:f>性能对比!$E$2:$E$14</c15:f>
                <c15:dlblRangeCache>
                  <c:ptCount val="13"/>
                  <c:pt idx="0">
                    <c:v>1.0x</c:v>
                  </c:pt>
                  <c:pt idx="1">
                    <c:v>1.8x</c:v>
                  </c:pt>
                  <c:pt idx="2">
                    <c:v>2.5x</c:v>
                  </c:pt>
                  <c:pt idx="3">
                    <c:v>3.1x</c:v>
                  </c:pt>
                  <c:pt idx="4">
                    <c:v>3.8x</c:v>
                  </c:pt>
                  <c:pt idx="5">
                    <c:v>4.3x</c:v>
                  </c:pt>
                  <c:pt idx="6">
                    <c:v>4.9x</c:v>
                  </c:pt>
                  <c:pt idx="7">
                    <c:v>5.4x</c:v>
                  </c:pt>
                  <c:pt idx="8">
                    <c:v>5.8x</c:v>
                  </c:pt>
                  <c:pt idx="9">
                    <c:v>6.2x</c:v>
                  </c:pt>
                  <c:pt idx="10">
                    <c:v>6.5x</c:v>
                  </c:pt>
                  <c:pt idx="11">
                    <c:v>7.0x</c:v>
                  </c:pt>
                  <c:pt idx="12">
                    <c:v>5.4x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5A0D-4DB0-9359-8A489DBC35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82576"/>
        <c:axId val="6480496"/>
      </c:barChart>
      <c:lineChart>
        <c:grouping val="standard"/>
        <c:varyColors val="0"/>
        <c:ser>
          <c:idx val="1"/>
          <c:order val="1"/>
          <c:tx>
            <c:strRef>
              <c:f>性能对比!$C$1</c:f>
              <c:strCache>
                <c:ptCount val="1"/>
                <c:pt idx="0">
                  <c:v>CPU使用率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[1]空载对比!$C$2:$C$14</c:f>
              <c:numCache>
                <c:formatCode>General</c:formatCode>
                <c:ptCount val="13"/>
                <c:pt idx="0">
                  <c:v>8.6199999999999992</c:v>
                </c:pt>
                <c:pt idx="1">
                  <c:v>17.71</c:v>
                </c:pt>
                <c:pt idx="2">
                  <c:v>25.4</c:v>
                </c:pt>
                <c:pt idx="3">
                  <c:v>33.950000000000003</c:v>
                </c:pt>
                <c:pt idx="4">
                  <c:v>42.48</c:v>
                </c:pt>
                <c:pt idx="5">
                  <c:v>50.38</c:v>
                </c:pt>
                <c:pt idx="6">
                  <c:v>58.31</c:v>
                </c:pt>
                <c:pt idx="7">
                  <c:v>66.33</c:v>
                </c:pt>
                <c:pt idx="8">
                  <c:v>74.209999999999994</c:v>
                </c:pt>
                <c:pt idx="9">
                  <c:v>82.13</c:v>
                </c:pt>
                <c:pt idx="10">
                  <c:v>89.93</c:v>
                </c:pt>
                <c:pt idx="11">
                  <c:v>97.3</c:v>
                </c:pt>
                <c:pt idx="12">
                  <c:v>32.49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[1]空载对比!$A$2:$A$14</c15:sqref>
                        </c15:formulaRef>
                      </c:ext>
                    </c:extLst>
                    <c:strCach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FPGA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5A0D-4DB0-9359-8A489DBC35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482992"/>
        <c:axId val="6480080"/>
      </c:lineChart>
      <c:catAx>
        <c:axId val="6482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CPU</a:t>
                </a:r>
                <a:r>
                  <a:rPr lang="zh-CN" altLang="en-US"/>
                  <a:t>并行查询数</a:t>
                </a:r>
                <a:r>
                  <a:rPr lang="en-US" altLang="zh-CN"/>
                  <a:t>&amp;FPGA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80496"/>
        <c:crosses val="autoZero"/>
        <c:auto val="1"/>
        <c:lblAlgn val="ctr"/>
        <c:lblOffset val="100"/>
        <c:noMultiLvlLbl val="0"/>
      </c:catAx>
      <c:valAx>
        <c:axId val="648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查询时间</a:t>
                </a:r>
                <a:r>
                  <a:rPr lang="en-US" altLang="zh-CN"/>
                  <a:t>ms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82576"/>
        <c:crosses val="autoZero"/>
        <c:crossBetween val="between"/>
      </c:valAx>
      <c:valAx>
        <c:axId val="6480080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CPU</a:t>
                </a:r>
                <a:r>
                  <a:rPr lang="zh-CN" altLang="en-US"/>
                  <a:t>使用率</a:t>
                </a:r>
                <a:r>
                  <a:rPr lang="en-US" altLang="zh-CN"/>
                  <a:t>%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82992"/>
        <c:crosses val="max"/>
        <c:crossBetween val="between"/>
      </c:valAx>
      <c:catAx>
        <c:axId val="6482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80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225425</xdr:colOff>
      <xdr:row>10</xdr:row>
      <xdr:rowOff>133350</xdr:rowOff>
    </xdr:from>
    <xdr:to>
      <xdr:col>10</xdr:col>
      <xdr:colOff>174625</xdr:colOff>
      <xdr:row>26</xdr:row>
      <xdr:rowOff>31750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532467</xdr:colOff>
      <xdr:row>10</xdr:row>
      <xdr:rowOff>121771</xdr:rowOff>
    </xdr:from>
    <xdr:to>
      <xdr:col>17</xdr:col>
      <xdr:colOff>481667</xdr:colOff>
      <xdr:row>26</xdr:row>
      <xdr:rowOff>20171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387350</xdr:colOff>
      <xdr:row>0</xdr:row>
      <xdr:rowOff>114300</xdr:rowOff>
    </xdr:from>
    <xdr:to>
      <xdr:col>12</xdr:col>
      <xdr:colOff>336550</xdr:colOff>
      <xdr:row>16</xdr:row>
      <xdr:rowOff>12700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空载对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B2" sqref="B2:B13"/>
    </sheetView>
  </sheetViews>
  <sheetFormatPr defaultRowHeight="14" x14ac:dyDescent="0.3"/>
  <sheetData>
    <row r="1" spans="1:10" x14ac:dyDescent="0.3">
      <c r="A1" t="s">
        <v>1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</row>
    <row r="2" spans="1:10" x14ac:dyDescent="0.3">
      <c r="A2">
        <v>1</v>
      </c>
      <c r="B2">
        <v>805.95</v>
      </c>
      <c r="C2">
        <v>968.98699999999997</v>
      </c>
      <c r="D2">
        <v>934.59</v>
      </c>
      <c r="E2">
        <v>1008.885</v>
      </c>
      <c r="F2">
        <v>1064.8140000000001</v>
      </c>
      <c r="G2">
        <v>1161.566</v>
      </c>
      <c r="H2">
        <v>1237.559</v>
      </c>
      <c r="I2">
        <v>1376.777</v>
      </c>
      <c r="J2">
        <v>1459.8309999999999</v>
      </c>
    </row>
    <row r="3" spans="1:10" x14ac:dyDescent="0.3">
      <c r="A3">
        <v>2</v>
      </c>
      <c r="B3">
        <v>458.86399999999998</v>
      </c>
      <c r="C3">
        <v>574.73299999999995</v>
      </c>
      <c r="D3">
        <v>521.91800000000001</v>
      </c>
      <c r="E3">
        <v>640.92700000000002</v>
      </c>
      <c r="F3">
        <v>649.82399999999996</v>
      </c>
      <c r="G3">
        <v>617.625</v>
      </c>
      <c r="H3">
        <v>706.34400000000005</v>
      </c>
      <c r="I3">
        <v>722.50800000000004</v>
      </c>
      <c r="J3">
        <v>703.42499999999995</v>
      </c>
    </row>
    <row r="4" spans="1:10" x14ac:dyDescent="0.3">
      <c r="A4">
        <v>3</v>
      </c>
      <c r="B4">
        <v>326.649</v>
      </c>
      <c r="C4">
        <v>430.20800000000003</v>
      </c>
      <c r="D4">
        <v>484.01499999999999</v>
      </c>
      <c r="E4">
        <v>487.75700000000001</v>
      </c>
      <c r="F4">
        <v>474.589</v>
      </c>
      <c r="G4">
        <v>433.77199999999999</v>
      </c>
      <c r="H4">
        <v>596.35799999999995</v>
      </c>
      <c r="I4">
        <v>667.74400000000003</v>
      </c>
      <c r="J4">
        <v>677.91700000000003</v>
      </c>
    </row>
    <row r="5" spans="1:10" x14ac:dyDescent="0.3">
      <c r="A5">
        <v>4</v>
      </c>
      <c r="B5">
        <v>256.517</v>
      </c>
      <c r="C5">
        <v>324.18900000000002</v>
      </c>
      <c r="D5">
        <v>341.32600000000002</v>
      </c>
      <c r="E5">
        <v>363.78300000000002</v>
      </c>
      <c r="F5">
        <v>380.93799999999999</v>
      </c>
      <c r="G5">
        <v>420.82100000000003</v>
      </c>
      <c r="H5">
        <v>515.84</v>
      </c>
      <c r="I5">
        <v>565.09799999999996</v>
      </c>
      <c r="J5">
        <v>784.1</v>
      </c>
    </row>
    <row r="6" spans="1:10" x14ac:dyDescent="0.3">
      <c r="A6">
        <v>5</v>
      </c>
      <c r="B6">
        <v>214.28299999999999</v>
      </c>
      <c r="C6">
        <v>252.71899999999999</v>
      </c>
      <c r="D6">
        <v>273.02300000000002</v>
      </c>
      <c r="E6">
        <v>303.53500000000003</v>
      </c>
      <c r="F6">
        <v>321.04700000000003</v>
      </c>
      <c r="G6">
        <v>369.48700000000002</v>
      </c>
      <c r="H6">
        <v>451.43799999999999</v>
      </c>
      <c r="I6">
        <v>543.13199999999995</v>
      </c>
      <c r="J6">
        <v>704.96299999999997</v>
      </c>
    </row>
    <row r="7" spans="1:10" x14ac:dyDescent="0.3">
      <c r="A7">
        <v>6</v>
      </c>
      <c r="B7">
        <v>186.49700000000001</v>
      </c>
      <c r="C7">
        <v>210.86699999999999</v>
      </c>
      <c r="D7">
        <v>233.833</v>
      </c>
      <c r="E7">
        <v>259.16899999999998</v>
      </c>
      <c r="F7">
        <v>296.78300000000002</v>
      </c>
      <c r="G7">
        <v>338.95699999999999</v>
      </c>
      <c r="H7">
        <v>412.18400000000003</v>
      </c>
      <c r="I7">
        <v>515.84299999999996</v>
      </c>
      <c r="J7">
        <v>667.51099999999997</v>
      </c>
    </row>
    <row r="8" spans="1:10" x14ac:dyDescent="0.3">
      <c r="A8">
        <v>7</v>
      </c>
      <c r="B8">
        <v>164.11600000000001</v>
      </c>
      <c r="C8">
        <v>188.40600000000001</v>
      </c>
      <c r="D8">
        <v>208.64099999999999</v>
      </c>
      <c r="E8">
        <v>236.07499999999999</v>
      </c>
      <c r="F8">
        <v>268.57600000000002</v>
      </c>
      <c r="G8">
        <v>315.69799999999998</v>
      </c>
      <c r="H8">
        <v>392.79899999999998</v>
      </c>
      <c r="I8">
        <v>483.95699999999999</v>
      </c>
      <c r="J8">
        <v>650.45000000000005</v>
      </c>
    </row>
    <row r="9" spans="1:10" x14ac:dyDescent="0.3">
      <c r="A9">
        <v>8</v>
      </c>
      <c r="B9">
        <v>149.56200000000001</v>
      </c>
      <c r="C9">
        <v>169.01499999999999</v>
      </c>
      <c r="D9">
        <v>188.68</v>
      </c>
      <c r="E9">
        <v>209.68600000000001</v>
      </c>
      <c r="F9">
        <v>244.023</v>
      </c>
      <c r="G9">
        <v>295.63099999999997</v>
      </c>
      <c r="H9">
        <v>358.52199999999999</v>
      </c>
      <c r="I9">
        <v>454.11500000000001</v>
      </c>
      <c r="J9">
        <v>647.90599999999995</v>
      </c>
    </row>
    <row r="10" spans="1:10" x14ac:dyDescent="0.3">
      <c r="A10">
        <v>9</v>
      </c>
      <c r="B10">
        <v>138.24600000000001</v>
      </c>
      <c r="C10">
        <v>157.32900000000001</v>
      </c>
      <c r="D10">
        <v>174.673</v>
      </c>
      <c r="E10">
        <v>196.05500000000001</v>
      </c>
      <c r="F10">
        <v>227.15299999999999</v>
      </c>
      <c r="G10">
        <v>273.411</v>
      </c>
      <c r="H10">
        <v>337.89499999999998</v>
      </c>
      <c r="I10">
        <v>437.20299999999997</v>
      </c>
      <c r="J10">
        <v>617.471</v>
      </c>
    </row>
    <row r="11" spans="1:10" x14ac:dyDescent="0.3">
      <c r="A11">
        <v>10</v>
      </c>
      <c r="B11">
        <v>129.55600000000001</v>
      </c>
      <c r="C11">
        <v>143.947</v>
      </c>
      <c r="D11">
        <v>160.423</v>
      </c>
      <c r="E11">
        <v>183.011</v>
      </c>
      <c r="F11">
        <v>215.11699999999999</v>
      </c>
      <c r="G11">
        <v>256.41500000000002</v>
      </c>
      <c r="H11">
        <v>317.70800000000003</v>
      </c>
      <c r="I11">
        <v>413.11399999999998</v>
      </c>
      <c r="J11">
        <v>601.13400000000001</v>
      </c>
    </row>
    <row r="12" spans="1:10" x14ac:dyDescent="0.3">
      <c r="A12">
        <v>11</v>
      </c>
      <c r="B12">
        <v>123.164</v>
      </c>
      <c r="C12">
        <v>136.18</v>
      </c>
      <c r="D12">
        <v>152.06800000000001</v>
      </c>
      <c r="E12">
        <v>176.14599999999999</v>
      </c>
      <c r="F12">
        <v>203.53299999999999</v>
      </c>
      <c r="G12">
        <v>245.49600000000001</v>
      </c>
      <c r="H12">
        <v>306.50799999999998</v>
      </c>
      <c r="I12">
        <v>403.36200000000002</v>
      </c>
      <c r="J12">
        <v>591.64</v>
      </c>
    </row>
    <row r="13" spans="1:10" x14ac:dyDescent="0.3">
      <c r="A13">
        <v>12</v>
      </c>
      <c r="B13">
        <v>114.363</v>
      </c>
      <c r="C13">
        <v>130.566</v>
      </c>
      <c r="D13">
        <v>143.93100000000001</v>
      </c>
      <c r="E13">
        <v>166.17699999999999</v>
      </c>
      <c r="F13">
        <v>196.33500000000001</v>
      </c>
      <c r="G13">
        <v>236.86600000000001</v>
      </c>
      <c r="H13">
        <v>292.96199999999999</v>
      </c>
      <c r="I13">
        <v>391.89600000000002</v>
      </c>
      <c r="J13">
        <v>585.38699999999994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B2" sqref="B2:B13"/>
    </sheetView>
  </sheetViews>
  <sheetFormatPr defaultRowHeight="14" x14ac:dyDescent="0.3"/>
  <sheetData>
    <row r="1" spans="1:10" x14ac:dyDescent="0.3">
      <c r="A1" t="s">
        <v>1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</row>
    <row r="2" spans="1:10" x14ac:dyDescent="0.3">
      <c r="A2">
        <v>1</v>
      </c>
      <c r="B2">
        <v>8.61</v>
      </c>
      <c r="C2">
        <v>19.79</v>
      </c>
      <c r="D2">
        <v>30.07</v>
      </c>
      <c r="E2">
        <v>39.880000000000003</v>
      </c>
      <c r="F2">
        <v>49.53</v>
      </c>
      <c r="G2">
        <v>59.27</v>
      </c>
      <c r="H2">
        <v>68.650000000000006</v>
      </c>
      <c r="I2">
        <v>77.41</v>
      </c>
      <c r="J2">
        <v>85.22</v>
      </c>
    </row>
    <row r="3" spans="1:10" x14ac:dyDescent="0.3">
      <c r="A3">
        <v>2</v>
      </c>
      <c r="B3">
        <v>17.3</v>
      </c>
      <c r="C3">
        <v>27.61</v>
      </c>
      <c r="D3">
        <v>38.07</v>
      </c>
      <c r="E3">
        <v>45.45</v>
      </c>
      <c r="F3">
        <v>54.88</v>
      </c>
      <c r="G3">
        <v>65.239999999999995</v>
      </c>
      <c r="H3">
        <v>73.400000000000006</v>
      </c>
      <c r="I3">
        <v>82.04</v>
      </c>
      <c r="J3">
        <v>89.84</v>
      </c>
    </row>
    <row r="4" spans="1:10" x14ac:dyDescent="0.3">
      <c r="A4">
        <v>3</v>
      </c>
      <c r="B4">
        <v>25.58</v>
      </c>
      <c r="C4">
        <v>34.44</v>
      </c>
      <c r="D4">
        <v>42.29</v>
      </c>
      <c r="E4">
        <v>50.85</v>
      </c>
      <c r="F4">
        <v>59.85</v>
      </c>
      <c r="G4">
        <v>72.56</v>
      </c>
      <c r="H4">
        <v>76.55</v>
      </c>
      <c r="I4">
        <v>84.14</v>
      </c>
      <c r="J4">
        <v>92.19</v>
      </c>
    </row>
    <row r="5" spans="1:10" x14ac:dyDescent="0.3">
      <c r="A5">
        <v>4</v>
      </c>
      <c r="B5">
        <v>34.630000000000003</v>
      </c>
      <c r="C5">
        <v>42.75</v>
      </c>
      <c r="D5">
        <v>48.67</v>
      </c>
      <c r="E5">
        <v>56.15</v>
      </c>
      <c r="F5">
        <v>63.42</v>
      </c>
      <c r="G5">
        <v>72.349999999999994</v>
      </c>
      <c r="H5">
        <v>78.319999999999993</v>
      </c>
      <c r="I5">
        <v>86.27</v>
      </c>
      <c r="J5">
        <v>92.09</v>
      </c>
    </row>
    <row r="6" spans="1:10" x14ac:dyDescent="0.3">
      <c r="A6">
        <v>5</v>
      </c>
      <c r="B6">
        <v>42.25</v>
      </c>
      <c r="C6">
        <v>49.23</v>
      </c>
      <c r="D6">
        <v>54.97</v>
      </c>
      <c r="E6">
        <v>61.6</v>
      </c>
      <c r="F6">
        <v>68.63</v>
      </c>
      <c r="G6">
        <v>75.430000000000007</v>
      </c>
      <c r="H6">
        <v>81.680000000000007</v>
      </c>
      <c r="I6">
        <v>87.65</v>
      </c>
      <c r="J6">
        <v>93.33</v>
      </c>
    </row>
    <row r="7" spans="1:10" x14ac:dyDescent="0.3">
      <c r="A7">
        <v>6</v>
      </c>
      <c r="B7">
        <v>50.27</v>
      </c>
      <c r="C7">
        <v>56.49</v>
      </c>
      <c r="D7">
        <v>61.15</v>
      </c>
      <c r="E7">
        <v>67.48</v>
      </c>
      <c r="F7">
        <v>72.28</v>
      </c>
      <c r="G7">
        <v>78.739999999999995</v>
      </c>
      <c r="H7">
        <v>83.81</v>
      </c>
      <c r="I7">
        <v>89.15</v>
      </c>
      <c r="J7">
        <v>94.09</v>
      </c>
    </row>
    <row r="8" spans="1:10" x14ac:dyDescent="0.3">
      <c r="A8">
        <v>7</v>
      </c>
      <c r="B8">
        <v>58.45</v>
      </c>
      <c r="C8">
        <v>63.56</v>
      </c>
      <c r="D8">
        <v>67.680000000000007</v>
      </c>
      <c r="E8">
        <v>72.349999999999994</v>
      </c>
      <c r="F8">
        <v>76.92</v>
      </c>
      <c r="G8">
        <v>81.319999999999993</v>
      </c>
      <c r="H8">
        <v>85.25</v>
      </c>
      <c r="I8">
        <v>90.54</v>
      </c>
      <c r="J8">
        <v>95.31</v>
      </c>
    </row>
    <row r="9" spans="1:10" x14ac:dyDescent="0.3">
      <c r="A9">
        <v>8</v>
      </c>
      <c r="B9">
        <v>66.3</v>
      </c>
      <c r="C9">
        <v>70.53</v>
      </c>
      <c r="D9">
        <v>73.63</v>
      </c>
      <c r="E9">
        <v>78.540000000000006</v>
      </c>
      <c r="F9">
        <v>81.48</v>
      </c>
      <c r="G9">
        <v>84.72</v>
      </c>
      <c r="H9">
        <v>88.12</v>
      </c>
      <c r="I9">
        <v>92.43</v>
      </c>
      <c r="J9">
        <v>95.71</v>
      </c>
    </row>
    <row r="10" spans="1:10" x14ac:dyDescent="0.3">
      <c r="A10">
        <v>9</v>
      </c>
      <c r="B10">
        <v>74.16</v>
      </c>
      <c r="C10">
        <v>77.38</v>
      </c>
      <c r="D10">
        <v>79.66</v>
      </c>
      <c r="E10">
        <v>83.11</v>
      </c>
      <c r="F10">
        <v>85.81</v>
      </c>
      <c r="G10">
        <v>88.09</v>
      </c>
      <c r="H10">
        <v>90.78</v>
      </c>
      <c r="I10">
        <v>93.75</v>
      </c>
      <c r="J10">
        <v>96.77</v>
      </c>
    </row>
    <row r="11" spans="1:10" x14ac:dyDescent="0.3">
      <c r="A11">
        <v>10</v>
      </c>
      <c r="B11">
        <v>82.05</v>
      </c>
      <c r="C11">
        <v>84.05</v>
      </c>
      <c r="D11">
        <v>86.77</v>
      </c>
      <c r="E11">
        <v>87.92</v>
      </c>
      <c r="F11">
        <v>89.65</v>
      </c>
      <c r="G11">
        <v>91.34</v>
      </c>
      <c r="H11">
        <v>93.46</v>
      </c>
      <c r="I11">
        <v>95.75</v>
      </c>
      <c r="J11">
        <v>97.46</v>
      </c>
    </row>
    <row r="12" spans="1:10" x14ac:dyDescent="0.3">
      <c r="A12">
        <v>11</v>
      </c>
      <c r="B12">
        <v>89.75</v>
      </c>
      <c r="C12">
        <v>90.67</v>
      </c>
      <c r="D12">
        <v>91.65</v>
      </c>
      <c r="E12">
        <v>92.7</v>
      </c>
      <c r="F12">
        <v>93.97</v>
      </c>
      <c r="G12">
        <v>94.49</v>
      </c>
      <c r="H12">
        <v>95.49</v>
      </c>
      <c r="I12">
        <v>96.82</v>
      </c>
      <c r="J12">
        <v>98.2</v>
      </c>
    </row>
    <row r="13" spans="1:10" x14ac:dyDescent="0.3">
      <c r="A13">
        <v>12</v>
      </c>
      <c r="B13">
        <v>96.91</v>
      </c>
      <c r="C13">
        <v>95.52</v>
      </c>
      <c r="D13">
        <v>97.41</v>
      </c>
      <c r="E13">
        <v>97.09</v>
      </c>
      <c r="F13">
        <v>96.77</v>
      </c>
      <c r="G13">
        <v>96.83</v>
      </c>
      <c r="H13">
        <v>97.69</v>
      </c>
      <c r="I13">
        <v>98.15</v>
      </c>
      <c r="J13">
        <v>98.55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B23" sqref="B23"/>
    </sheetView>
  </sheetViews>
  <sheetFormatPr defaultRowHeight="14" x14ac:dyDescent="0.3"/>
  <sheetData>
    <row r="1" spans="1:10" x14ac:dyDescent="0.3">
      <c r="A1" t="s">
        <v>1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</row>
    <row r="2" spans="1:10" x14ac:dyDescent="0.3">
      <c r="A2">
        <v>1</v>
      </c>
      <c r="B2">
        <v>383.19299999999998</v>
      </c>
      <c r="C2">
        <v>451.55900000000003</v>
      </c>
      <c r="D2">
        <v>453.69200000000001</v>
      </c>
      <c r="E2">
        <v>524.28300000000002</v>
      </c>
      <c r="F2">
        <v>472.92599999999999</v>
      </c>
      <c r="G2">
        <v>523.55499999999995</v>
      </c>
      <c r="H2">
        <v>544.221</v>
      </c>
      <c r="I2">
        <v>549.49300000000005</v>
      </c>
      <c r="J2">
        <v>693.34</v>
      </c>
    </row>
    <row r="3" spans="1:10" x14ac:dyDescent="0.3">
      <c r="A3">
        <v>2</v>
      </c>
      <c r="B3">
        <v>214.43899999999999</v>
      </c>
      <c r="C3">
        <v>222.649</v>
      </c>
      <c r="D3">
        <v>248.059</v>
      </c>
      <c r="E3">
        <v>276.666</v>
      </c>
      <c r="F3">
        <v>302.72300000000001</v>
      </c>
      <c r="G3">
        <v>335.06599999999997</v>
      </c>
      <c r="H3">
        <v>390.92</v>
      </c>
      <c r="I3">
        <v>455.99200000000002</v>
      </c>
      <c r="J3">
        <v>543.58600000000001</v>
      </c>
    </row>
    <row r="4" spans="1:10" x14ac:dyDescent="0.3">
      <c r="A4">
        <v>3</v>
      </c>
      <c r="B4">
        <v>157.85300000000001</v>
      </c>
      <c r="C4">
        <v>168.98099999999999</v>
      </c>
      <c r="D4">
        <v>215.24700000000001</v>
      </c>
      <c r="E4">
        <v>212.73500000000001</v>
      </c>
      <c r="F4">
        <v>237.477</v>
      </c>
      <c r="G4">
        <v>271.74299999999999</v>
      </c>
      <c r="H4">
        <v>358.79500000000002</v>
      </c>
      <c r="I4">
        <v>377.62</v>
      </c>
      <c r="J4">
        <v>450.05900000000003</v>
      </c>
    </row>
    <row r="5" spans="1:10" x14ac:dyDescent="0.3">
      <c r="A5">
        <v>4</v>
      </c>
      <c r="B5">
        <v>150.56299999999999</v>
      </c>
      <c r="C5">
        <v>160.46100000000001</v>
      </c>
      <c r="D5">
        <v>176.29400000000001</v>
      </c>
      <c r="E5">
        <v>197.16499999999999</v>
      </c>
      <c r="F5">
        <v>221.94399999999999</v>
      </c>
      <c r="G5">
        <v>244.30199999999999</v>
      </c>
      <c r="H5">
        <v>290.58100000000002</v>
      </c>
      <c r="I5">
        <v>365.11200000000002</v>
      </c>
      <c r="J5">
        <v>440.65300000000002</v>
      </c>
    </row>
    <row r="6" spans="1:10" x14ac:dyDescent="0.3">
      <c r="A6">
        <v>5</v>
      </c>
      <c r="B6">
        <v>150.81</v>
      </c>
      <c r="C6">
        <v>161.625</v>
      </c>
      <c r="D6">
        <v>179.80600000000001</v>
      </c>
      <c r="E6">
        <v>202.20099999999999</v>
      </c>
      <c r="F6">
        <v>222.32900000000001</v>
      </c>
      <c r="G6">
        <v>244.91</v>
      </c>
      <c r="H6">
        <v>276.71499999999997</v>
      </c>
      <c r="I6">
        <v>350.089</v>
      </c>
      <c r="J6">
        <v>421.47399999999999</v>
      </c>
    </row>
    <row r="7" spans="1:10" x14ac:dyDescent="0.3">
      <c r="A7">
        <v>6</v>
      </c>
      <c r="B7">
        <v>152.185</v>
      </c>
      <c r="C7">
        <v>164.08500000000001</v>
      </c>
      <c r="D7">
        <v>177.21799999999999</v>
      </c>
      <c r="E7">
        <v>199.22200000000001</v>
      </c>
      <c r="F7">
        <v>218.61</v>
      </c>
      <c r="G7">
        <v>242.68700000000001</v>
      </c>
      <c r="H7">
        <v>291.85000000000002</v>
      </c>
      <c r="I7">
        <v>336.32900000000001</v>
      </c>
      <c r="J7">
        <v>436.11500000000001</v>
      </c>
    </row>
    <row r="8" spans="1:10" x14ac:dyDescent="0.3">
      <c r="A8">
        <v>7</v>
      </c>
      <c r="B8">
        <v>152.60599999999999</v>
      </c>
      <c r="C8">
        <v>164.48</v>
      </c>
      <c r="D8">
        <v>178.48099999999999</v>
      </c>
      <c r="E8">
        <v>198.923</v>
      </c>
      <c r="F8">
        <v>217.58600000000001</v>
      </c>
      <c r="G8">
        <v>737.05600000000004</v>
      </c>
      <c r="H8">
        <v>287.37299999999999</v>
      </c>
      <c r="I8">
        <v>336.83600000000001</v>
      </c>
      <c r="J8">
        <v>409.86399999999998</v>
      </c>
    </row>
    <row r="9" spans="1:10" x14ac:dyDescent="0.3">
      <c r="A9">
        <v>8</v>
      </c>
      <c r="B9">
        <v>154.71899999999999</v>
      </c>
      <c r="C9">
        <v>166.495</v>
      </c>
      <c r="D9">
        <v>180.50800000000001</v>
      </c>
      <c r="E9">
        <v>201.76499999999999</v>
      </c>
      <c r="F9">
        <v>221.97300000000001</v>
      </c>
      <c r="G9">
        <v>254.06399999999999</v>
      </c>
      <c r="H9">
        <v>292.53699999999998</v>
      </c>
      <c r="I9">
        <v>345.41500000000002</v>
      </c>
      <c r="J9">
        <v>416.79899999999998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D16" sqref="D16"/>
    </sheetView>
  </sheetViews>
  <sheetFormatPr defaultRowHeight="14" x14ac:dyDescent="0.3"/>
  <sheetData>
    <row r="1" spans="1:10" x14ac:dyDescent="0.3">
      <c r="A1" t="s">
        <v>4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</row>
    <row r="2" spans="1:10" x14ac:dyDescent="0.3">
      <c r="A2">
        <v>1</v>
      </c>
      <c r="B2">
        <v>13.32</v>
      </c>
      <c r="C2">
        <v>23.41</v>
      </c>
      <c r="D2">
        <v>32.61</v>
      </c>
      <c r="E2">
        <v>40.75</v>
      </c>
      <c r="F2">
        <v>50.51</v>
      </c>
      <c r="G2">
        <v>59.24</v>
      </c>
      <c r="H2">
        <v>68.260000000000005</v>
      </c>
      <c r="I2">
        <v>77.760000000000005</v>
      </c>
      <c r="J2">
        <v>86.02</v>
      </c>
    </row>
    <row r="3" spans="1:10" x14ac:dyDescent="0.3">
      <c r="A3">
        <v>2</v>
      </c>
      <c r="B3">
        <v>23.33</v>
      </c>
      <c r="C3">
        <v>32.49</v>
      </c>
      <c r="D3">
        <v>40.39</v>
      </c>
      <c r="E3">
        <v>48.17</v>
      </c>
      <c r="F3">
        <v>55.84</v>
      </c>
      <c r="G3">
        <v>63.96</v>
      </c>
      <c r="H3">
        <v>72.150000000000006</v>
      </c>
      <c r="I3">
        <v>79.66</v>
      </c>
      <c r="J3">
        <v>88</v>
      </c>
    </row>
    <row r="4" spans="1:10" x14ac:dyDescent="0.3">
      <c r="A4">
        <v>3</v>
      </c>
      <c r="B4">
        <v>30</v>
      </c>
      <c r="C4">
        <v>38.33</v>
      </c>
      <c r="D4">
        <v>46.2</v>
      </c>
      <c r="E4">
        <v>52.85</v>
      </c>
      <c r="F4">
        <v>60.07</v>
      </c>
      <c r="G4">
        <v>67.25</v>
      </c>
      <c r="H4">
        <v>74.42</v>
      </c>
      <c r="I4">
        <v>81.96</v>
      </c>
      <c r="J4">
        <v>89.18</v>
      </c>
    </row>
    <row r="5" spans="1:10" x14ac:dyDescent="0.3">
      <c r="A5">
        <v>4</v>
      </c>
      <c r="B5">
        <v>31.65</v>
      </c>
      <c r="C5">
        <v>40.630000000000003</v>
      </c>
      <c r="D5">
        <v>47.64</v>
      </c>
      <c r="E5">
        <v>53.76</v>
      </c>
      <c r="F5">
        <v>61.11</v>
      </c>
      <c r="G5">
        <v>68.569999999999993</v>
      </c>
      <c r="H5">
        <v>75.86</v>
      </c>
      <c r="I5">
        <v>82.16</v>
      </c>
      <c r="J5">
        <v>89.62</v>
      </c>
    </row>
    <row r="6" spans="1:10" x14ac:dyDescent="0.3">
      <c r="A6">
        <v>5</v>
      </c>
      <c r="B6">
        <v>32.06</v>
      </c>
      <c r="C6">
        <v>40.72</v>
      </c>
      <c r="D6">
        <v>51.97</v>
      </c>
      <c r="E6">
        <v>58.3</v>
      </c>
      <c r="F6">
        <v>65.260000000000005</v>
      </c>
      <c r="G6">
        <v>68.989999999999995</v>
      </c>
      <c r="H6">
        <v>76.16</v>
      </c>
      <c r="I6">
        <v>82.48</v>
      </c>
      <c r="J6">
        <v>90.44</v>
      </c>
    </row>
    <row r="7" spans="1:10" x14ac:dyDescent="0.3">
      <c r="A7">
        <v>6</v>
      </c>
      <c r="B7">
        <v>34.729999999999997</v>
      </c>
      <c r="C7">
        <v>42.51</v>
      </c>
      <c r="D7">
        <v>49.09</v>
      </c>
      <c r="E7">
        <v>55.51</v>
      </c>
      <c r="F7">
        <v>61.64</v>
      </c>
      <c r="G7">
        <v>69.3</v>
      </c>
      <c r="H7">
        <v>76.42</v>
      </c>
      <c r="I7">
        <v>83.22</v>
      </c>
      <c r="J7">
        <v>91.37</v>
      </c>
    </row>
    <row r="8" spans="1:10" x14ac:dyDescent="0.3">
      <c r="A8">
        <v>7</v>
      </c>
      <c r="B8">
        <v>35.26</v>
      </c>
      <c r="C8">
        <v>42.76</v>
      </c>
      <c r="D8">
        <v>49.75</v>
      </c>
      <c r="E8">
        <v>56.57</v>
      </c>
      <c r="F8">
        <v>62.34</v>
      </c>
      <c r="G8">
        <v>69.709999999999994</v>
      </c>
      <c r="H8">
        <v>76.47</v>
      </c>
      <c r="I8">
        <v>83.74</v>
      </c>
      <c r="J8">
        <v>90.6</v>
      </c>
    </row>
    <row r="9" spans="1:10" x14ac:dyDescent="0.3">
      <c r="A9">
        <v>8</v>
      </c>
      <c r="B9">
        <v>36.57</v>
      </c>
      <c r="C9">
        <v>44.17</v>
      </c>
      <c r="D9">
        <v>51.21</v>
      </c>
      <c r="E9">
        <v>57.03</v>
      </c>
      <c r="F9">
        <v>63.55</v>
      </c>
      <c r="G9">
        <v>70.53</v>
      </c>
      <c r="H9">
        <v>77.06</v>
      </c>
      <c r="I9">
        <v>83.88</v>
      </c>
      <c r="J9">
        <v>91.19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topLeftCell="A4" zoomScale="85" zoomScaleNormal="85" workbookViewId="0">
      <selection activeCell="O4" sqref="O4"/>
    </sheetView>
  </sheetViews>
  <sheetFormatPr defaultRowHeight="14" x14ac:dyDescent="0.3"/>
  <sheetData>
    <row r="1" spans="1:5" x14ac:dyDescent="0.3">
      <c r="B1" s="3" t="s">
        <v>19</v>
      </c>
      <c r="C1" s="3"/>
      <c r="D1" s="3" t="s">
        <v>20</v>
      </c>
      <c r="E1" s="3"/>
    </row>
    <row r="2" spans="1:5" x14ac:dyDescent="0.3">
      <c r="A2" s="1" t="s">
        <v>0</v>
      </c>
      <c r="B2" s="1" t="s">
        <v>2</v>
      </c>
      <c r="C2" s="1" t="s">
        <v>3</v>
      </c>
      <c r="D2" s="1" t="s">
        <v>2</v>
      </c>
      <c r="E2" s="1" t="s">
        <v>3</v>
      </c>
    </row>
    <row r="3" spans="1:5" x14ac:dyDescent="0.3">
      <c r="A3" s="1">
        <v>1</v>
      </c>
      <c r="B3">
        <v>805.95</v>
      </c>
      <c r="C3">
        <v>8.61</v>
      </c>
      <c r="D3">
        <v>383.19299999999998</v>
      </c>
      <c r="E3">
        <v>13.32</v>
      </c>
    </row>
    <row r="4" spans="1:5" x14ac:dyDescent="0.3">
      <c r="A4" s="1">
        <v>2</v>
      </c>
      <c r="B4">
        <v>458.86399999999998</v>
      </c>
      <c r="C4">
        <v>17.3</v>
      </c>
      <c r="D4">
        <v>214.43899999999999</v>
      </c>
      <c r="E4">
        <v>23.33</v>
      </c>
    </row>
    <row r="5" spans="1:5" x14ac:dyDescent="0.3">
      <c r="A5" s="1">
        <v>3</v>
      </c>
      <c r="B5">
        <v>326.649</v>
      </c>
      <c r="C5">
        <v>25.58</v>
      </c>
      <c r="D5">
        <v>157.85300000000001</v>
      </c>
      <c r="E5">
        <v>30</v>
      </c>
    </row>
    <row r="6" spans="1:5" x14ac:dyDescent="0.3">
      <c r="A6" s="1">
        <v>4</v>
      </c>
      <c r="B6">
        <v>256.517</v>
      </c>
      <c r="C6">
        <v>34.630000000000003</v>
      </c>
      <c r="D6">
        <v>150.56299999999999</v>
      </c>
      <c r="E6">
        <v>31.65</v>
      </c>
    </row>
    <row r="7" spans="1:5" x14ac:dyDescent="0.3">
      <c r="A7" s="1">
        <v>5</v>
      </c>
      <c r="B7">
        <v>214.28299999999999</v>
      </c>
      <c r="C7">
        <v>42.25</v>
      </c>
      <c r="D7">
        <v>150.81</v>
      </c>
      <c r="E7">
        <v>32.06</v>
      </c>
    </row>
    <row r="8" spans="1:5" x14ac:dyDescent="0.3">
      <c r="A8" s="1">
        <v>6</v>
      </c>
      <c r="B8">
        <v>186.49700000000001</v>
      </c>
      <c r="C8">
        <v>50.27</v>
      </c>
      <c r="D8">
        <v>152.185</v>
      </c>
      <c r="E8">
        <v>34.729999999999997</v>
      </c>
    </row>
    <row r="9" spans="1:5" x14ac:dyDescent="0.3">
      <c r="A9" s="1">
        <v>7</v>
      </c>
      <c r="B9">
        <v>164.11600000000001</v>
      </c>
      <c r="C9">
        <v>58.45</v>
      </c>
      <c r="D9">
        <v>152.60599999999999</v>
      </c>
      <c r="E9">
        <v>35.26</v>
      </c>
    </row>
    <row r="10" spans="1:5" x14ac:dyDescent="0.3">
      <c r="A10" s="1">
        <v>8</v>
      </c>
      <c r="B10">
        <v>149.56200000000001</v>
      </c>
      <c r="C10">
        <v>66.3</v>
      </c>
      <c r="D10">
        <v>154.71899999999999</v>
      </c>
      <c r="E10">
        <v>36.57</v>
      </c>
    </row>
    <row r="11" spans="1:5" x14ac:dyDescent="0.3">
      <c r="A11" s="1">
        <v>9</v>
      </c>
      <c r="B11">
        <v>138.24600000000001</v>
      </c>
      <c r="C11">
        <v>74.16</v>
      </c>
    </row>
    <row r="12" spans="1:5" x14ac:dyDescent="0.3">
      <c r="A12" s="1">
        <v>10</v>
      </c>
      <c r="B12">
        <v>129.55600000000001</v>
      </c>
      <c r="C12">
        <v>82.05</v>
      </c>
    </row>
    <row r="13" spans="1:5" x14ac:dyDescent="0.3">
      <c r="A13" s="1">
        <v>11</v>
      </c>
      <c r="B13">
        <v>123.164</v>
      </c>
      <c r="C13">
        <v>89.75</v>
      </c>
    </row>
    <row r="14" spans="1:5" x14ac:dyDescent="0.3">
      <c r="A14" s="1">
        <v>12</v>
      </c>
      <c r="B14">
        <v>114.363</v>
      </c>
      <c r="C14">
        <v>96.91</v>
      </c>
    </row>
  </sheetData>
  <mergeCells count="2">
    <mergeCell ref="B1:C1"/>
    <mergeCell ref="D1:E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zoomScale="85" zoomScaleNormal="85" workbookViewId="0">
      <selection activeCell="C14" sqref="C14"/>
    </sheetView>
  </sheetViews>
  <sheetFormatPr defaultRowHeight="14" x14ac:dyDescent="0.3"/>
  <cols>
    <col min="1" max="5" width="8.6640625" style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5</v>
      </c>
      <c r="E1" s="1" t="s">
        <v>5</v>
      </c>
    </row>
    <row r="2" spans="1:5" x14ac:dyDescent="0.3">
      <c r="A2" s="1">
        <v>1</v>
      </c>
      <c r="B2" s="1">
        <v>805.95</v>
      </c>
      <c r="C2" s="1">
        <v>8.6199999999999992</v>
      </c>
      <c r="D2" s="2">
        <f>B$2/B2</f>
        <v>1</v>
      </c>
      <c r="E2" s="1" t="s">
        <v>6</v>
      </c>
    </row>
    <row r="3" spans="1:5" x14ac:dyDescent="0.3">
      <c r="A3" s="1">
        <v>2</v>
      </c>
      <c r="B3" s="1">
        <v>458.86399999999998</v>
      </c>
      <c r="C3" s="1">
        <v>17.71</v>
      </c>
      <c r="D3" s="2">
        <f t="shared" ref="D3:D14" si="0">B$2/B3</f>
        <v>1.7564027685763104</v>
      </c>
      <c r="E3" s="1" t="s">
        <v>15</v>
      </c>
    </row>
    <row r="4" spans="1:5" x14ac:dyDescent="0.3">
      <c r="A4" s="1">
        <v>3</v>
      </c>
      <c r="B4" s="1">
        <v>326.649</v>
      </c>
      <c r="C4" s="1">
        <v>25.4</v>
      </c>
      <c r="D4" s="2">
        <f t="shared" si="0"/>
        <v>2.4673273146404857</v>
      </c>
      <c r="E4" s="1" t="s">
        <v>16</v>
      </c>
    </row>
    <row r="5" spans="1:5" x14ac:dyDescent="0.3">
      <c r="A5" s="1">
        <v>4</v>
      </c>
      <c r="B5" s="1">
        <v>256.517</v>
      </c>
      <c r="C5" s="1">
        <v>33.950000000000003</v>
      </c>
      <c r="D5" s="2">
        <f t="shared" si="0"/>
        <v>3.1418970282671328</v>
      </c>
      <c r="E5" s="1" t="s">
        <v>7</v>
      </c>
    </row>
    <row r="6" spans="1:5" x14ac:dyDescent="0.3">
      <c r="A6" s="1">
        <v>5</v>
      </c>
      <c r="B6" s="1">
        <v>214.28299999999999</v>
      </c>
      <c r="C6" s="1">
        <v>42.48</v>
      </c>
      <c r="D6" s="2">
        <f t="shared" si="0"/>
        <v>3.7611476412034559</v>
      </c>
      <c r="E6" s="1" t="s">
        <v>8</v>
      </c>
    </row>
    <row r="7" spans="1:5" x14ac:dyDescent="0.3">
      <c r="A7" s="1">
        <v>6</v>
      </c>
      <c r="B7" s="1">
        <v>186.49700000000001</v>
      </c>
      <c r="C7" s="1">
        <v>50.38</v>
      </c>
      <c r="D7" s="2">
        <f t="shared" si="0"/>
        <v>4.3215172362021912</v>
      </c>
      <c r="E7" s="1" t="s">
        <v>9</v>
      </c>
    </row>
    <row r="8" spans="1:5" x14ac:dyDescent="0.3">
      <c r="A8" s="1">
        <v>7</v>
      </c>
      <c r="B8" s="1">
        <v>164.11600000000001</v>
      </c>
      <c r="C8" s="1">
        <v>58.31</v>
      </c>
      <c r="D8" s="2">
        <f t="shared" si="0"/>
        <v>4.9108557361865994</v>
      </c>
      <c r="E8" s="1" t="s">
        <v>10</v>
      </c>
    </row>
    <row r="9" spans="1:5" x14ac:dyDescent="0.3">
      <c r="A9" s="1">
        <v>8</v>
      </c>
      <c r="B9" s="1">
        <v>149.56200000000001</v>
      </c>
      <c r="C9" s="1">
        <v>66.33</v>
      </c>
      <c r="D9" s="2">
        <f t="shared" si="0"/>
        <v>5.3887351065110121</v>
      </c>
      <c r="E9" s="1" t="s">
        <v>11</v>
      </c>
    </row>
    <row r="10" spans="1:5" x14ac:dyDescent="0.3">
      <c r="A10" s="1">
        <v>9</v>
      </c>
      <c r="B10" s="1">
        <v>138.24600000000001</v>
      </c>
      <c r="C10" s="1">
        <v>74.209999999999994</v>
      </c>
      <c r="D10" s="2">
        <f t="shared" si="0"/>
        <v>5.8298250943969441</v>
      </c>
      <c r="E10" s="1" t="s">
        <v>12</v>
      </c>
    </row>
    <row r="11" spans="1:5" x14ac:dyDescent="0.3">
      <c r="A11" s="1">
        <v>10</v>
      </c>
      <c r="B11" s="1">
        <v>129.55600000000001</v>
      </c>
      <c r="C11" s="1">
        <v>82.13</v>
      </c>
      <c r="D11" s="2">
        <f t="shared" si="0"/>
        <v>6.2208620210565311</v>
      </c>
      <c r="E11" s="1" t="s">
        <v>17</v>
      </c>
    </row>
    <row r="12" spans="1:5" x14ac:dyDescent="0.3">
      <c r="A12" s="1">
        <v>11</v>
      </c>
      <c r="B12" s="1">
        <v>123.164</v>
      </c>
      <c r="C12" s="1">
        <v>89.93</v>
      </c>
      <c r="D12" s="2">
        <f t="shared" si="0"/>
        <v>6.5437140722938523</v>
      </c>
      <c r="E12" s="1" t="s">
        <v>18</v>
      </c>
    </row>
    <row r="13" spans="1:5" x14ac:dyDescent="0.3">
      <c r="A13" s="1">
        <v>12</v>
      </c>
      <c r="B13" s="1">
        <v>114.363</v>
      </c>
      <c r="C13" s="1">
        <v>97.3</v>
      </c>
      <c r="D13" s="2">
        <f t="shared" si="0"/>
        <v>7.0472967655622893</v>
      </c>
      <c r="E13" s="1" t="s">
        <v>13</v>
      </c>
    </row>
    <row r="14" spans="1:5" x14ac:dyDescent="0.3">
      <c r="A14" s="1" t="s">
        <v>14</v>
      </c>
      <c r="B14" s="1">
        <v>150.56299999999999</v>
      </c>
      <c r="C14" s="1">
        <v>32.49</v>
      </c>
      <c r="D14" s="2">
        <f t="shared" si="0"/>
        <v>5.3529087491614815</v>
      </c>
      <c r="E14" s="1" t="s">
        <v>11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CPU查询时间</vt:lpstr>
      <vt:lpstr>CPU负载</vt:lpstr>
      <vt:lpstr>FPGA查询时间</vt:lpstr>
      <vt:lpstr>FPGA负载</vt:lpstr>
      <vt:lpstr>特性对比</vt:lpstr>
      <vt:lpstr>性能对比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2022-04-14T08:02:50Z</dcterms:modified>
</cp:coreProperties>
</file>