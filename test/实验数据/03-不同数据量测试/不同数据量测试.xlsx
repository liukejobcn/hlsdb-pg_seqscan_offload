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原始测试数据" sheetId="1" r:id="rId1"/>
    <sheet name="对比1" sheetId="7" r:id="rId2"/>
    <sheet name="对比2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G3" i="8"/>
  <c r="H3" i="8"/>
  <c r="I3" i="8"/>
  <c r="F4" i="8"/>
  <c r="G4" i="8"/>
  <c r="H4" i="8"/>
  <c r="I4" i="8"/>
  <c r="F5" i="8"/>
  <c r="G5" i="8"/>
  <c r="H5" i="8"/>
  <c r="I5" i="8"/>
  <c r="F6" i="8"/>
  <c r="G6" i="8"/>
  <c r="H6" i="8"/>
  <c r="I6" i="8"/>
  <c r="G2" i="8"/>
  <c r="H2" i="8"/>
  <c r="I2" i="8"/>
  <c r="F2" i="8"/>
</calcChain>
</file>

<file path=xl/sharedStrings.xml><?xml version="1.0" encoding="utf-8"?>
<sst xmlns="http://schemas.openxmlformats.org/spreadsheetml/2006/main" count="52" uniqueCount="29">
  <si>
    <t xml:space="preserve">     1GB</t>
  </si>
  <si>
    <t xml:space="preserve">     2GB</t>
  </si>
  <si>
    <t xml:space="preserve">     4GB</t>
  </si>
  <si>
    <t xml:space="preserve">     8GB</t>
  </si>
  <si>
    <t xml:space="preserve">    16GB</t>
  </si>
  <si>
    <t>FPGA</t>
    <phoneticPr fontId="1" type="noConversion"/>
  </si>
  <si>
    <t xml:space="preserve">           数据量
进程数     </t>
  </si>
  <si>
    <t xml:space="preserve">     1GB(CPU)</t>
    <phoneticPr fontId="1" type="noConversion"/>
  </si>
  <si>
    <t xml:space="preserve">     2GB(CPU)</t>
    <phoneticPr fontId="1" type="noConversion"/>
  </si>
  <si>
    <t xml:space="preserve">     4GB(CPU)</t>
    <phoneticPr fontId="1" type="noConversion"/>
  </si>
  <si>
    <t xml:space="preserve">     8GB(CPU)</t>
    <phoneticPr fontId="1" type="noConversion"/>
  </si>
  <si>
    <t xml:space="preserve">  1GB(FPGA)</t>
    <phoneticPr fontId="1" type="noConversion"/>
  </si>
  <si>
    <t xml:space="preserve">     2GB(FPGA)</t>
    <phoneticPr fontId="1" type="noConversion"/>
  </si>
  <si>
    <t xml:space="preserve">    4GB(FPGA)</t>
    <phoneticPr fontId="1" type="noConversion"/>
  </si>
  <si>
    <t xml:space="preserve">    8GB(FPGA)</t>
    <phoneticPr fontId="1" type="noConversion"/>
  </si>
  <si>
    <t>1.0x</t>
  </si>
  <si>
    <t>3.1x</t>
  </si>
  <si>
    <t>3.2x</t>
  </si>
  <si>
    <t>5.5x</t>
  </si>
  <si>
    <t>5.6x</t>
  </si>
  <si>
    <t>5.8x</t>
  </si>
  <si>
    <t>6.5x</t>
  </si>
  <si>
    <t>6.7x</t>
  </si>
  <si>
    <t>7.2x</t>
  </si>
  <si>
    <t>7.6x</t>
  </si>
  <si>
    <t>1并行</t>
    <phoneticPr fontId="1" type="noConversion"/>
  </si>
  <si>
    <t>4并行</t>
    <phoneticPr fontId="1" type="noConversion"/>
  </si>
  <si>
    <t>8并行</t>
    <phoneticPr fontId="1" type="noConversion"/>
  </si>
  <si>
    <t>12并行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</si>
</sst>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对比1!$B$1</c:f>
              <c:strCache>
                <c:ptCount val="1"/>
                <c:pt idx="0">
                  <c:v>     1GB(CPU)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对比1!$A$2:$A$13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对比1!$B$2:$B$13</c:f>
              <c:numCache>
                <c:formatCode>General</c:formatCode>
                <c:ptCount val="12"/>
                <c:pt idx="0">
                  <c:v>875.77</c:v>
                </c:pt>
                <c:pt idx="1">
                  <c:v>499.21</c:v>
                </c:pt>
                <c:pt idx="2">
                  <c:v>350.28</c:v>
                </c:pt>
                <c:pt idx="3">
                  <c:v>279.33999999999997</c:v>
                </c:pt>
                <c:pt idx="4">
                  <c:v>230.04</c:v>
                </c:pt>
                <c:pt idx="5">
                  <c:v>201.19</c:v>
                </c:pt>
                <c:pt idx="6">
                  <c:v>178.68</c:v>
                </c:pt>
                <c:pt idx="7">
                  <c:v>159.52000000000001</c:v>
                </c:pt>
                <c:pt idx="8">
                  <c:v>144.79</c:v>
                </c:pt>
                <c:pt idx="9">
                  <c:v>138.25</c:v>
                </c:pt>
                <c:pt idx="10">
                  <c:v>135.87</c:v>
                </c:pt>
                <c:pt idx="11">
                  <c:v>133.88999999999999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9-45D4-A526-410ABE8A7AB5}"/>
            </c:ext>
          </c:extLst>
        </c:ser>
        <c:ser>
          <c:idx val="1"/>
          <c:order val="1"/>
          <c:tx>
            <c:strRef>
              <c:f>对比1!$C$1</c:f>
              <c:strCache>
                <c:ptCount val="1"/>
                <c:pt idx="0">
                  <c:v>     2GB(CPU)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对比1!$A$2:$A$13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对比1!$C$2:$C$13</c:f>
              <c:numCache>
                <c:formatCode>General</c:formatCode>
                <c:ptCount val="12"/>
                <c:pt idx="0">
                  <c:v>1701.72</c:v>
                </c:pt>
                <c:pt idx="1">
                  <c:v>990.19</c:v>
                </c:pt>
                <c:pt idx="2">
                  <c:v>676.93</c:v>
                </c:pt>
                <c:pt idx="3">
                  <c:v>533.44000000000005</c:v>
                </c:pt>
                <c:pt idx="4">
                  <c:v>437.41</c:v>
                </c:pt>
                <c:pt idx="5">
                  <c:v>379.61</c:v>
                </c:pt>
                <c:pt idx="6">
                  <c:v>331.67</c:v>
                </c:pt>
                <c:pt idx="7">
                  <c:v>306.2</c:v>
                </c:pt>
                <c:pt idx="8">
                  <c:v>274.07</c:v>
                </c:pt>
                <c:pt idx="9">
                  <c:v>261.52999999999997</c:v>
                </c:pt>
                <c:pt idx="10">
                  <c:v>254.94</c:v>
                </c:pt>
                <c:pt idx="11">
                  <c:v>254.08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9-45D4-A526-410ABE8A7AB5}"/>
            </c:ext>
          </c:extLst>
        </c:ser>
        <c:ser>
          <c:idx val="2"/>
          <c:order val="2"/>
          <c:tx>
            <c:strRef>
              <c:f>对比1!$D$1</c:f>
              <c:strCache>
                <c:ptCount val="1"/>
                <c:pt idx="0">
                  <c:v>     4GB(CPU)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对比1!$A$2:$A$13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对比1!$D$2:$D$13</c:f>
              <c:numCache>
                <c:formatCode>General</c:formatCode>
                <c:ptCount val="12"/>
                <c:pt idx="0">
                  <c:v>3360.4</c:v>
                </c:pt>
                <c:pt idx="1">
                  <c:v>1966.01</c:v>
                </c:pt>
                <c:pt idx="2">
                  <c:v>1338.1</c:v>
                </c:pt>
                <c:pt idx="3">
                  <c:v>1036</c:v>
                </c:pt>
                <c:pt idx="4">
                  <c:v>855.06</c:v>
                </c:pt>
                <c:pt idx="5">
                  <c:v>731.5</c:v>
                </c:pt>
                <c:pt idx="6">
                  <c:v>643.85</c:v>
                </c:pt>
                <c:pt idx="7">
                  <c:v>576.86</c:v>
                </c:pt>
                <c:pt idx="8">
                  <c:v>527.63</c:v>
                </c:pt>
                <c:pt idx="9">
                  <c:v>495.79</c:v>
                </c:pt>
                <c:pt idx="10">
                  <c:v>471.01</c:v>
                </c:pt>
                <c:pt idx="11">
                  <c:v>468.65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9-45D4-A526-410ABE8A7AB5}"/>
            </c:ext>
          </c:extLst>
        </c:ser>
        <c:ser>
          <c:idx val="3"/>
          <c:order val="3"/>
          <c:tx>
            <c:strRef>
              <c:f>对比1!$E$1</c:f>
              <c:strCache>
                <c:ptCount val="1"/>
                <c:pt idx="0">
                  <c:v>     8GB(CPU)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对比1!$A$2:$A$13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对比1!$E$2:$E$13</c:f>
              <c:numCache>
                <c:formatCode>General</c:formatCode>
                <c:ptCount val="12"/>
                <c:pt idx="0">
                  <c:v>6518.28</c:v>
                </c:pt>
                <c:pt idx="1">
                  <c:v>3942.08</c:v>
                </c:pt>
                <c:pt idx="2">
                  <c:v>2643.92</c:v>
                </c:pt>
                <c:pt idx="3">
                  <c:v>2047.67</c:v>
                </c:pt>
                <c:pt idx="4">
                  <c:v>1686.41</c:v>
                </c:pt>
                <c:pt idx="5">
                  <c:v>1436.97</c:v>
                </c:pt>
                <c:pt idx="6">
                  <c:v>1259.77</c:v>
                </c:pt>
                <c:pt idx="7">
                  <c:v>1120.3599999999999</c:v>
                </c:pt>
                <c:pt idx="8">
                  <c:v>1018.46</c:v>
                </c:pt>
                <c:pt idx="9">
                  <c:v>941.98</c:v>
                </c:pt>
                <c:pt idx="10">
                  <c:v>891.35</c:v>
                </c:pt>
                <c:pt idx="11">
                  <c:v>858.6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89-45D4-A526-410ABE8A7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185039"/>
        <c:axId val="521175471"/>
      </c:lineChart>
      <c:scatterChart>
        <c:scatterStyle val="lineMarker"/>
        <c:varyColors val="0"/>
        <c:ser>
          <c:idx val="4"/>
          <c:order val="4"/>
          <c:tx>
            <c:strRef>
              <c:f>对比1!$G$1</c:f>
              <c:strCache>
                <c:ptCount val="1"/>
                <c:pt idx="0">
                  <c:v>  1GB(FPGA)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3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对比1!$G$2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对比1!$G$3</c:f>
              <c:numCache>
                <c:formatCode>General</c:formatCode>
                <c:ptCount val="1"/>
                <c:pt idx="0">
                  <c:v>157.12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9-45D4-A526-410ABE8A7AB5}"/>
            </c:ext>
          </c:extLst>
        </c:ser>
        <c:ser>
          <c:idx val="5"/>
          <c:order val="5"/>
          <c:tx>
            <c:strRef>
              <c:f>对比1!$H$1</c:f>
              <c:strCache>
                <c:ptCount val="1"/>
                <c:pt idx="0">
                  <c:v>     2GB(FPGA)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对比1!$H$2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对比1!$H$3</c:f>
              <c:numCache>
                <c:formatCode>General</c:formatCode>
                <c:ptCount val="1"/>
                <c:pt idx="0">
                  <c:v>301.68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89-45D4-A526-410ABE8A7AB5}"/>
            </c:ext>
          </c:extLst>
        </c:ser>
        <c:ser>
          <c:idx val="6"/>
          <c:order val="6"/>
          <c:tx>
            <c:strRef>
              <c:f>对比1!$I$1</c:f>
              <c:strCache>
                <c:ptCount val="1"/>
                <c:pt idx="0">
                  <c:v>    4GB(FPGA)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对比1!$I$2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对比1!$I$3</c:f>
              <c:numCache>
                <c:formatCode>General</c:formatCode>
                <c:ptCount val="1"/>
                <c:pt idx="0">
                  <c:v>596.34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89-45D4-A526-410ABE8A7AB5}"/>
            </c:ext>
          </c:extLst>
        </c:ser>
        <c:ser>
          <c:idx val="7"/>
          <c:order val="7"/>
          <c:tx>
            <c:strRef>
              <c:f>对比1!$J$1</c:f>
              <c:strCache>
                <c:ptCount val="1"/>
                <c:pt idx="0">
                  <c:v>    8GB(FPGA)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对比1!$J$2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对比1!$J$3</c:f>
              <c:numCache>
                <c:formatCode>General</c:formatCode>
                <c:ptCount val="1"/>
                <c:pt idx="0">
                  <c:v>1193.6400000000001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C89-45D4-A526-410ABE8A7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185039"/>
        <c:axId val="521175471"/>
      </c:scatterChart>
      <c:catAx>
        <c:axId val="52118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CPU</a:t>
                </a:r>
                <a:r>
                  <a:rPr lang="zh-CN" altLang="en-US"/>
                  <a:t>查询并行数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175471"/>
        <c:crosses val="autoZero"/>
        <c:auto val="1"/>
        <c:lblAlgn val="ctr"/>
        <c:lblOffset val="100"/>
        <c:tickMarkSkip val="1"/>
        <c:noMultiLvlLbl val="0"/>
      </c:catAx>
      <c:valAx>
        <c:axId val="52117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118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对比2!$A$2</c:f>
              <c:strCache>
                <c:ptCount val="1"/>
                <c:pt idx="0">
                  <c:v>1并行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1F8D92B9-73D8-418A-8DC0-12C71B4F801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705-4237-9ED7-61236A0487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36BE96D-8F27-4676-B188-3230F30AA8E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705-4237-9ED7-61236A0487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78C611-7309-484E-9493-6DEC9D3680E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705-4237-9ED7-61236A0487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A837209-3FCF-4DEF-95CD-9301707873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对比2!$B$1:$E$1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对比2!$B$2:$E$2</c:f>
              <c:numCache>
                <c:formatCode>General</c:formatCode>
                <c:ptCount val="4"/>
                <c:pt idx="0">
                  <c:v>875.77</c:v>
                </c:pt>
                <c:pt idx="1">
                  <c:v>1701.72</c:v>
                </c:pt>
                <c:pt idx="2">
                  <c:v>3360.4</c:v>
                </c:pt>
                <c:pt idx="3">
                  <c:v>6518.28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对比2!$J$2:$M$2</c15:f>
                <c15:dlblRangeCache>
                  <c:ptCount val="4"/>
                  <c:pt idx="0">
                    <c:v>1.0x</c:v>
                  </c:pt>
                  <c:pt idx="1">
                    <c:v>1.0x</c:v>
                  </c:pt>
                  <c:pt idx="2">
                    <c:v>1.0x</c:v>
                  </c:pt>
                  <c:pt idx="3">
                    <c:v>1.0x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705-4237-9ED7-61236A04879C}"/>
            </c:ext>
          </c:extLst>
        </c:ser>
        <c:ser>
          <c:idx val="1"/>
          <c:order val="1"/>
          <c:tx>
            <c:strRef>
              <c:f>对比2!$A$3</c:f>
              <c:strCache>
                <c:ptCount val="1"/>
                <c:pt idx="0">
                  <c:v>4并行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212856B6-B635-40E1-93D6-831E9CE15C9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705-4237-9ED7-61236A0487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1176AD-120A-4FDD-A636-3DDF481244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05-4237-9ED7-61236A0487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6E9569-D2E9-43FA-96EC-624F8C633A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05-4237-9ED7-61236A0487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956C2BE-0165-4664-9A7C-83DB5936D9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对比2!$B$1:$E$1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对比2!$B$3:$E$3</c:f>
              <c:numCache>
                <c:formatCode>General</c:formatCode>
                <c:ptCount val="4"/>
                <c:pt idx="0">
                  <c:v>279.33999999999997</c:v>
                </c:pt>
                <c:pt idx="1">
                  <c:v>533.44000000000005</c:v>
                </c:pt>
                <c:pt idx="2">
                  <c:v>1036</c:v>
                </c:pt>
                <c:pt idx="3">
                  <c:v>2047.67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对比2!$J$3:$M$3</c15:f>
                <c15:dlblRangeCache>
                  <c:ptCount val="4"/>
                  <c:pt idx="0">
                    <c:v>3.1x</c:v>
                  </c:pt>
                  <c:pt idx="1">
                    <c:v>3.2x</c:v>
                  </c:pt>
                  <c:pt idx="2">
                    <c:v>3.2x</c:v>
                  </c:pt>
                  <c:pt idx="3">
                    <c:v>3.2x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2705-4237-9ED7-61236A04879C}"/>
            </c:ext>
          </c:extLst>
        </c:ser>
        <c:ser>
          <c:idx val="2"/>
          <c:order val="2"/>
          <c:tx>
            <c:strRef>
              <c:f>对比2!$A$4</c:f>
              <c:strCache>
                <c:ptCount val="1"/>
                <c:pt idx="0">
                  <c:v>8并行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FFA1573-97E4-4A60-AC16-4C8F92C9EAB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705-4237-9ED7-61236A0487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E54BD5-8FA1-41E4-B3C9-3D40E94C30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705-4237-9ED7-61236A0487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C6C37B5-CFDD-41E3-ADF3-16D2AED4B69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705-4237-9ED7-61236A0487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F8D4DA-0791-4DC4-AF29-EA0F0463A1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对比2!$B$1:$E$1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对比2!$B$4:$E$4</c:f>
              <c:numCache>
                <c:formatCode>General</c:formatCode>
                <c:ptCount val="4"/>
                <c:pt idx="0">
                  <c:v>159.52000000000001</c:v>
                </c:pt>
                <c:pt idx="1">
                  <c:v>306.2</c:v>
                </c:pt>
                <c:pt idx="2">
                  <c:v>576.86</c:v>
                </c:pt>
                <c:pt idx="3">
                  <c:v>1120.3599999999999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对比2!$J$4:$M$4</c15:f>
                <c15:dlblRangeCache>
                  <c:ptCount val="4"/>
                  <c:pt idx="0">
                    <c:v>5.5x</c:v>
                  </c:pt>
                  <c:pt idx="1">
                    <c:v>5.6x</c:v>
                  </c:pt>
                  <c:pt idx="2">
                    <c:v>5.8x</c:v>
                  </c:pt>
                  <c:pt idx="3">
                    <c:v>5.8x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2705-4237-9ED7-61236A04879C}"/>
            </c:ext>
          </c:extLst>
        </c:ser>
        <c:ser>
          <c:idx val="3"/>
          <c:order val="3"/>
          <c:tx>
            <c:strRef>
              <c:f>对比2!$A$5</c:f>
              <c:strCache>
                <c:ptCount val="1"/>
                <c:pt idx="0">
                  <c:v>12并行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E48EB958-34C6-4AE4-8E85-36E83A7CDFE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705-4237-9ED7-61236A0487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D65E8E5-4E97-4C6C-8C47-7A77BA498C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705-4237-9ED7-61236A0487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643C85-A9AB-47BC-ACD2-ED2B2A60B6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705-4237-9ED7-61236A0487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02C00E-5B8C-4EC8-B49A-9AC9FE3E831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对比2!$B$1:$E$1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对比2!$B$5:$E$5</c:f>
              <c:numCache>
                <c:formatCode>General</c:formatCode>
                <c:ptCount val="4"/>
                <c:pt idx="0">
                  <c:v>133.88999999999999</c:v>
                </c:pt>
                <c:pt idx="1">
                  <c:v>254.08</c:v>
                </c:pt>
                <c:pt idx="2">
                  <c:v>468.65</c:v>
                </c:pt>
                <c:pt idx="3">
                  <c:v>858.6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对比2!$J$5:$M$5</c15:f>
                <c15:dlblRangeCache>
                  <c:ptCount val="4"/>
                  <c:pt idx="0">
                    <c:v>6.5x</c:v>
                  </c:pt>
                  <c:pt idx="1">
                    <c:v>6.7x</c:v>
                  </c:pt>
                  <c:pt idx="2">
                    <c:v>7.2x</c:v>
                  </c:pt>
                  <c:pt idx="3">
                    <c:v>7.6x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705-4237-9ED7-61236A04879C}"/>
            </c:ext>
          </c:extLst>
        </c:ser>
        <c:ser>
          <c:idx val="4"/>
          <c:order val="4"/>
          <c:tx>
            <c:strRef>
              <c:f>对比2!$A$6</c:f>
              <c:strCache>
                <c:ptCount val="1"/>
                <c:pt idx="0">
                  <c:v>FPGA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DF530DCD-46A6-4944-932E-721263256D0C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705-4237-9ED7-61236A0487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BB3B2F-7EBA-4ACD-A564-6DB51EEE85C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705-4237-9ED7-61236A0487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660D31-8FBD-43B6-ACCC-C1A2ABBC04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705-4237-9ED7-61236A0487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BE6F61-1AE8-41ED-86E4-0E1A7E06C57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705-4237-9ED7-61236A048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对比2!$B$1:$E$1</c:f>
              <c:strCache>
                <c:ptCount val="4"/>
                <c:pt idx="0">
                  <c:v>     1GB</c:v>
                </c:pt>
                <c:pt idx="1">
                  <c:v>     2GB</c:v>
                </c:pt>
                <c:pt idx="2">
                  <c:v>     4GB</c:v>
                </c:pt>
                <c:pt idx="3">
                  <c:v>     8GB</c:v>
                </c:pt>
              </c:strCache>
            </c:strRef>
          </c:cat>
          <c:val>
            <c:numRef>
              <c:f>对比2!$B$6:$E$6</c:f>
              <c:numCache>
                <c:formatCode>General</c:formatCode>
                <c:ptCount val="4"/>
                <c:pt idx="0">
                  <c:v>157.12</c:v>
                </c:pt>
                <c:pt idx="1">
                  <c:v>301.68</c:v>
                </c:pt>
                <c:pt idx="2">
                  <c:v>596.34</c:v>
                </c:pt>
                <c:pt idx="3">
                  <c:v>1193.6400000000001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对比2!$J$6:$M$6</c15:f>
                <c15:dlblRangeCache>
                  <c:ptCount val="4"/>
                  <c:pt idx="0">
                    <c:v>5.6x</c:v>
                  </c:pt>
                  <c:pt idx="1">
                    <c:v>5.6x</c:v>
                  </c:pt>
                  <c:pt idx="2">
                    <c:v>5.6x</c:v>
                  </c:pt>
                  <c:pt idx="3">
                    <c:v>5.5x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705-4237-9ED7-61236A0487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81"/>
        <c:overlap val="-7"/>
        <c:axId val="316398431"/>
        <c:axId val="316391359"/>
      </c:barChart>
      <c:catAx>
        <c:axId val="31639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数据量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391359"/>
        <c:crosses val="autoZero"/>
        <c:auto val="1"/>
        <c:lblAlgn val="ctr"/>
        <c:lblOffset val="100"/>
        <c:noMultiLvlLbl val="0"/>
      </c:catAx>
      <c:valAx>
        <c:axId val="3163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查询时间</a:t>
                </a:r>
                <a:r>
                  <a:rPr lang="en-US" altLang="zh-CN"/>
                  <a:t>ms</a:t>
                </a:r>
                <a:endParaRPr lang="zh-C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39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327211</xdr:colOff>
      <xdr:row>2</xdr:row>
      <xdr:rowOff>67468</xdr:rowOff>
    </xdr:from>
    <xdr:to>
      <xdr:col>10</xdr:col>
      <xdr:colOff>431798</xdr:colOff>
      <xdr:row>17</xdr:row>
      <xdr:rowOff>121256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177800</xdr:colOff>
      <xdr:row>6</xdr:row>
      <xdr:rowOff>107950</xdr:rowOff>
    </xdr:from>
    <xdr:to>
      <xdr:col>12</xdr:col>
      <xdr:colOff>647699</xdr:colOff>
      <xdr:row>25</xdr:row>
      <xdr:rowOff>63500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Normal="100" workbookViewId="0">
      <selection activeCell="A22" sqref="A22:F22"/>
    </sheetView>
  </sheetViews>
  <sheetFormatPr defaultRowHeight="14" x14ac:dyDescent="0.3"/>
  <cols>
    <col min="1" max="1" width="11.58203125" customWidth="1"/>
  </cols>
  <sheetData>
    <row r="1" spans="1:6" ht="32" customHeight="1" x14ac:dyDescent="0.3">
      <c r="A1" s="2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1</v>
      </c>
      <c r="B2" s="1">
        <v>875.77</v>
      </c>
      <c r="C2" s="1">
        <v>1701.72</v>
      </c>
      <c r="D2" s="1">
        <v>3360.4</v>
      </c>
      <c r="E2" s="1">
        <v>6518.28</v>
      </c>
      <c r="F2" s="1">
        <v>13433.4</v>
      </c>
    </row>
    <row r="3" spans="1:6" x14ac:dyDescent="0.3">
      <c r="A3" s="1">
        <v>2</v>
      </c>
      <c r="B3" s="1">
        <v>499.21</v>
      </c>
      <c r="C3" s="1">
        <v>990.19</v>
      </c>
      <c r="D3" s="1">
        <v>1966.01</v>
      </c>
      <c r="E3" s="1">
        <v>3942.08</v>
      </c>
      <c r="F3" s="1">
        <v>7844.11</v>
      </c>
    </row>
    <row r="4" spans="1:6" x14ac:dyDescent="0.3">
      <c r="A4" s="1">
        <v>3</v>
      </c>
      <c r="B4" s="1">
        <v>350.28</v>
      </c>
      <c r="C4" s="1">
        <v>676.93</v>
      </c>
      <c r="D4" s="1">
        <v>1338.1</v>
      </c>
      <c r="E4" s="1">
        <v>2643.92</v>
      </c>
      <c r="F4" s="1">
        <v>5296.98</v>
      </c>
    </row>
    <row r="5" spans="1:6" x14ac:dyDescent="0.3">
      <c r="A5" s="1">
        <v>4</v>
      </c>
      <c r="B5" s="1">
        <v>279.33999999999997</v>
      </c>
      <c r="C5" s="1">
        <v>533.44000000000005</v>
      </c>
      <c r="D5" s="1">
        <v>1036</v>
      </c>
      <c r="E5" s="1">
        <v>2047.67</v>
      </c>
      <c r="F5" s="1">
        <v>4068.24</v>
      </c>
    </row>
    <row r="6" spans="1:6" x14ac:dyDescent="0.3">
      <c r="A6" s="1">
        <v>5</v>
      </c>
      <c r="B6" s="1">
        <v>230.04</v>
      </c>
      <c r="C6" s="1">
        <v>437.41</v>
      </c>
      <c r="D6" s="1">
        <v>855.06</v>
      </c>
      <c r="E6" s="1">
        <v>1686.41</v>
      </c>
      <c r="F6" s="1">
        <v>3350.43</v>
      </c>
    </row>
    <row r="7" spans="1:6" x14ac:dyDescent="0.3">
      <c r="A7" s="1">
        <v>6</v>
      </c>
      <c r="B7" s="1">
        <v>201.19</v>
      </c>
      <c r="C7" s="1">
        <v>379.61</v>
      </c>
      <c r="D7" s="1">
        <v>731.5</v>
      </c>
      <c r="E7" s="1">
        <v>1436.97</v>
      </c>
      <c r="F7" s="1">
        <v>2861.77</v>
      </c>
    </row>
    <row r="8" spans="1:6" x14ac:dyDescent="0.3">
      <c r="A8" s="1">
        <v>7</v>
      </c>
      <c r="B8" s="1">
        <v>178.68</v>
      </c>
      <c r="C8" s="1">
        <v>331.67</v>
      </c>
      <c r="D8" s="1">
        <v>643.85</v>
      </c>
      <c r="E8" s="1">
        <v>1259.77</v>
      </c>
      <c r="F8" s="1">
        <v>2500.8200000000002</v>
      </c>
    </row>
    <row r="9" spans="1:6" x14ac:dyDescent="0.3">
      <c r="A9" s="6">
        <v>8</v>
      </c>
      <c r="B9" s="6">
        <v>159.52000000000001</v>
      </c>
      <c r="C9" s="6">
        <v>306.2</v>
      </c>
      <c r="D9" s="6">
        <v>576.86</v>
      </c>
      <c r="E9" s="6">
        <v>1120.3599999999999</v>
      </c>
      <c r="F9" s="6">
        <v>2214.04</v>
      </c>
    </row>
    <row r="10" spans="1:6" x14ac:dyDescent="0.3">
      <c r="A10" s="1">
        <v>9</v>
      </c>
      <c r="B10" s="1">
        <v>144.79</v>
      </c>
      <c r="C10" s="1">
        <v>274.07</v>
      </c>
      <c r="D10" s="1">
        <v>527.63</v>
      </c>
      <c r="E10" s="1">
        <v>1018.46</v>
      </c>
      <c r="F10" s="1">
        <v>2013.32</v>
      </c>
    </row>
    <row r="11" spans="1:6" x14ac:dyDescent="0.3">
      <c r="A11" s="1">
        <v>10</v>
      </c>
      <c r="B11" s="1">
        <v>138.25</v>
      </c>
      <c r="C11" s="1">
        <v>261.52999999999997</v>
      </c>
      <c r="D11" s="1">
        <v>495.79</v>
      </c>
      <c r="E11" s="1">
        <v>941.98</v>
      </c>
      <c r="F11" s="1">
        <v>1871.64</v>
      </c>
    </row>
    <row r="12" spans="1:6" x14ac:dyDescent="0.3">
      <c r="A12" s="1">
        <v>11</v>
      </c>
      <c r="B12" s="1">
        <v>135.87</v>
      </c>
      <c r="C12" s="1">
        <v>254.94</v>
      </c>
      <c r="D12" s="1">
        <v>471.01</v>
      </c>
      <c r="E12" s="1">
        <v>891.35</v>
      </c>
      <c r="F12" s="1">
        <v>1748.99</v>
      </c>
    </row>
    <row r="13" spans="1:6" x14ac:dyDescent="0.3">
      <c r="A13" s="1">
        <v>12</v>
      </c>
      <c r="B13" s="1">
        <v>133.88999999999999</v>
      </c>
      <c r="C13" s="1">
        <v>254.08</v>
      </c>
      <c r="D13" s="1">
        <v>468.65</v>
      </c>
      <c r="E13" s="1">
        <v>858.6</v>
      </c>
      <c r="F13" s="1">
        <v>1688.62</v>
      </c>
    </row>
    <row r="14" spans="1:6" x14ac:dyDescent="0.3">
      <c r="A14" s="1">
        <v>13</v>
      </c>
      <c r="B14" s="1">
        <v>133.46</v>
      </c>
      <c r="C14" s="1">
        <v>248.78</v>
      </c>
      <c r="D14" s="1">
        <v>466.35</v>
      </c>
      <c r="E14" s="1">
        <v>841.57</v>
      </c>
      <c r="F14" s="1">
        <v>1594.07</v>
      </c>
    </row>
    <row r="15" spans="1:6" x14ac:dyDescent="0.3">
      <c r="A15" s="1">
        <v>14</v>
      </c>
      <c r="B15" s="1">
        <v>131.97</v>
      </c>
      <c r="C15" s="1">
        <v>243.93</v>
      </c>
      <c r="D15" s="1">
        <v>461.24</v>
      </c>
      <c r="E15" s="1">
        <v>839.42</v>
      </c>
      <c r="F15" s="1">
        <v>1555.77</v>
      </c>
    </row>
    <row r="16" spans="1:6" x14ac:dyDescent="0.3">
      <c r="A16" s="1">
        <v>15</v>
      </c>
      <c r="B16" s="1">
        <v>137.43</v>
      </c>
      <c r="C16" s="1">
        <v>252.75</v>
      </c>
      <c r="D16" s="1">
        <v>455.66</v>
      </c>
      <c r="E16" s="1">
        <v>845.91</v>
      </c>
      <c r="F16" s="1">
        <v>1528.71</v>
      </c>
    </row>
    <row r="17" spans="1:6" x14ac:dyDescent="0.3">
      <c r="A17" s="1">
        <v>16</v>
      </c>
      <c r="B17" s="1">
        <v>133.96</v>
      </c>
      <c r="C17" s="1">
        <v>246.64</v>
      </c>
      <c r="D17" s="1">
        <v>464.39</v>
      </c>
      <c r="E17" s="1">
        <v>836.44</v>
      </c>
      <c r="F17" s="1">
        <v>1537.64</v>
      </c>
    </row>
    <row r="18" spans="1:6" x14ac:dyDescent="0.3">
      <c r="A18" s="1">
        <v>17</v>
      </c>
      <c r="B18" s="1">
        <v>134.21</v>
      </c>
      <c r="C18" s="1">
        <v>247.99</v>
      </c>
      <c r="D18" s="1">
        <v>458.95</v>
      </c>
      <c r="E18" s="1">
        <v>832.97</v>
      </c>
      <c r="F18" s="1">
        <v>1523.57</v>
      </c>
    </row>
    <row r="19" spans="1:6" x14ac:dyDescent="0.3">
      <c r="A19" s="1">
        <v>18</v>
      </c>
      <c r="B19" s="1">
        <v>133.88999999999999</v>
      </c>
      <c r="C19" s="1">
        <v>250.58</v>
      </c>
      <c r="D19" s="1">
        <v>464.65</v>
      </c>
      <c r="E19" s="1">
        <v>836.32</v>
      </c>
      <c r="F19" s="1">
        <v>1517.71</v>
      </c>
    </row>
    <row r="20" spans="1:6" x14ac:dyDescent="0.3">
      <c r="A20" s="1">
        <v>19</v>
      </c>
      <c r="B20" s="1">
        <v>135.33000000000001</v>
      </c>
      <c r="C20" s="1">
        <v>246.67</v>
      </c>
      <c r="D20" s="1">
        <v>463.48</v>
      </c>
      <c r="E20" s="1">
        <v>844.3</v>
      </c>
      <c r="F20" s="1">
        <v>1528.6</v>
      </c>
    </row>
    <row r="21" spans="1:6" x14ac:dyDescent="0.3">
      <c r="A21" s="1">
        <v>20</v>
      </c>
      <c r="B21" s="1">
        <v>133.9</v>
      </c>
      <c r="C21" s="1">
        <v>249.22</v>
      </c>
      <c r="D21" s="1">
        <v>460.76</v>
      </c>
      <c r="E21" s="1">
        <v>833.74</v>
      </c>
      <c r="F21" s="1">
        <v>1529.38</v>
      </c>
    </row>
    <row r="22" spans="1:6" x14ac:dyDescent="0.3">
      <c r="A22" s="3" t="s">
        <v>5</v>
      </c>
      <c r="B22" s="4">
        <v>157.12</v>
      </c>
      <c r="C22" s="5">
        <v>301.68</v>
      </c>
      <c r="D22" s="5">
        <v>596.34</v>
      </c>
      <c r="E22" s="5">
        <v>1193.6400000000001</v>
      </c>
      <c r="F22" s="5">
        <v>2449.0300000000002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115" zoomScaleNormal="115" workbookViewId="0">
      <selection activeCell="O22" sqref="O22"/>
    </sheetView>
  </sheetViews>
  <sheetFormatPr defaultRowHeight="14" x14ac:dyDescent="0.3"/>
  <cols>
    <col min="2" max="5" width="11.4140625" bestFit="1" customWidth="1"/>
    <col min="7" max="7" width="11.75" bestFit="1" customWidth="1"/>
    <col min="8" max="10" width="12.75" bestFit="1" customWidth="1"/>
  </cols>
  <sheetData>
    <row r="1" spans="1:10" x14ac:dyDescent="0.3">
      <c r="B1" s="1" t="s">
        <v>7</v>
      </c>
      <c r="C1" s="1" t="s">
        <v>8</v>
      </c>
      <c r="D1" s="1" t="s">
        <v>9</v>
      </c>
      <c r="E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>
        <v>1</v>
      </c>
      <c r="B2" s="1">
        <v>875.77</v>
      </c>
      <c r="C2" s="1">
        <v>1701.72</v>
      </c>
      <c r="D2" s="1">
        <v>3360.4</v>
      </c>
      <c r="E2" s="1">
        <v>6518.28</v>
      </c>
      <c r="G2">
        <v>8</v>
      </c>
      <c r="H2">
        <v>8</v>
      </c>
      <c r="I2">
        <v>8</v>
      </c>
      <c r="J2">
        <v>8</v>
      </c>
    </row>
    <row r="3" spans="1:10" x14ac:dyDescent="0.3">
      <c r="A3">
        <v>2</v>
      </c>
      <c r="B3" s="1">
        <v>499.21</v>
      </c>
      <c r="C3" s="1">
        <v>990.19</v>
      </c>
      <c r="D3" s="1">
        <v>1966.01</v>
      </c>
      <c r="E3" s="1">
        <v>3942.08</v>
      </c>
      <c r="G3" s="4">
        <v>157.12</v>
      </c>
      <c r="H3" s="5">
        <v>301.68</v>
      </c>
      <c r="I3" s="5">
        <v>596.34</v>
      </c>
      <c r="J3" s="5">
        <v>1193.6400000000001</v>
      </c>
    </row>
    <row r="4" spans="1:10" x14ac:dyDescent="0.3">
      <c r="A4">
        <v>3</v>
      </c>
      <c r="B4" s="1">
        <v>350.28</v>
      </c>
      <c r="C4" s="1">
        <v>676.93</v>
      </c>
      <c r="D4" s="1">
        <v>1338.1</v>
      </c>
      <c r="E4" s="1">
        <v>2643.92</v>
      </c>
    </row>
    <row r="5" spans="1:10" x14ac:dyDescent="0.3">
      <c r="A5">
        <v>4</v>
      </c>
      <c r="B5" s="1">
        <v>279.33999999999997</v>
      </c>
      <c r="C5" s="1">
        <v>533.44000000000005</v>
      </c>
      <c r="D5" s="1">
        <v>1036</v>
      </c>
      <c r="E5" s="1">
        <v>2047.67</v>
      </c>
    </row>
    <row r="6" spans="1:10" x14ac:dyDescent="0.3">
      <c r="A6">
        <v>5</v>
      </c>
      <c r="B6" s="1">
        <v>230.04</v>
      </c>
      <c r="C6" s="1">
        <v>437.41</v>
      </c>
      <c r="D6" s="1">
        <v>855.06</v>
      </c>
      <c r="E6" s="1">
        <v>1686.41</v>
      </c>
    </row>
    <row r="7" spans="1:10" x14ac:dyDescent="0.3">
      <c r="A7">
        <v>6</v>
      </c>
      <c r="B7" s="1">
        <v>201.19</v>
      </c>
      <c r="C7" s="1">
        <v>379.61</v>
      </c>
      <c r="D7" s="1">
        <v>731.5</v>
      </c>
      <c r="E7" s="1">
        <v>1436.97</v>
      </c>
    </row>
    <row r="8" spans="1:10" x14ac:dyDescent="0.3">
      <c r="A8">
        <v>7</v>
      </c>
      <c r="B8" s="1">
        <v>178.68</v>
      </c>
      <c r="C8" s="1">
        <v>331.67</v>
      </c>
      <c r="D8" s="1">
        <v>643.85</v>
      </c>
      <c r="E8" s="1">
        <v>1259.77</v>
      </c>
    </row>
    <row r="9" spans="1:10" x14ac:dyDescent="0.3">
      <c r="A9">
        <v>8</v>
      </c>
      <c r="B9" s="6">
        <v>159.52000000000001</v>
      </c>
      <c r="C9" s="6">
        <v>306.2</v>
      </c>
      <c r="D9" s="6">
        <v>576.86</v>
      </c>
      <c r="E9" s="6">
        <v>1120.3599999999999</v>
      </c>
    </row>
    <row r="10" spans="1:10" x14ac:dyDescent="0.3">
      <c r="A10">
        <v>9</v>
      </c>
      <c r="B10" s="1">
        <v>144.79</v>
      </c>
      <c r="C10" s="1">
        <v>274.07</v>
      </c>
      <c r="D10" s="1">
        <v>527.63</v>
      </c>
      <c r="E10" s="1">
        <v>1018.46</v>
      </c>
    </row>
    <row r="11" spans="1:10" x14ac:dyDescent="0.3">
      <c r="A11">
        <v>10</v>
      </c>
      <c r="B11" s="1">
        <v>138.25</v>
      </c>
      <c r="C11" s="1">
        <v>261.52999999999997</v>
      </c>
      <c r="D11" s="1">
        <v>495.79</v>
      </c>
      <c r="E11" s="1">
        <v>941.98</v>
      </c>
    </row>
    <row r="12" spans="1:10" x14ac:dyDescent="0.3">
      <c r="A12">
        <v>11</v>
      </c>
      <c r="B12" s="1">
        <v>135.87</v>
      </c>
      <c r="C12" s="1">
        <v>254.94</v>
      </c>
      <c r="D12" s="1">
        <v>471.01</v>
      </c>
      <c r="E12" s="1">
        <v>891.35</v>
      </c>
    </row>
    <row r="13" spans="1:10" x14ac:dyDescent="0.3">
      <c r="A13">
        <v>12</v>
      </c>
      <c r="B13" s="1">
        <v>133.88999999999999</v>
      </c>
      <c r="C13" s="1">
        <v>254.08</v>
      </c>
      <c r="D13" s="1">
        <v>468.65</v>
      </c>
      <c r="E13" s="1">
        <v>858.6</v>
      </c>
    </row>
    <row r="14" spans="1:10" x14ac:dyDescent="0.3">
      <c r="B14" s="4"/>
      <c r="C14" s="5"/>
      <c r="D14" s="5"/>
      <c r="E14" s="5"/>
    </row>
    <row r="15" spans="1:10" x14ac:dyDescent="0.3">
      <c r="B15" s="1"/>
      <c r="C15" s="1"/>
      <c r="D15" s="1"/>
      <c r="E15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O16" sqref="O16"/>
    </sheetView>
  </sheetViews>
  <sheetFormatPr defaultRowHeight="14" x14ac:dyDescent="0.3"/>
  <cols>
    <col min="1" max="1" width="6.83203125" bestFit="1" customWidth="1"/>
    <col min="2" max="2" width="7.1640625" bestFit="1" customWidth="1"/>
    <col min="3" max="3" width="8.1640625" bestFit="1" customWidth="1"/>
    <col min="4" max="4" width="7.1640625" bestFit="1" customWidth="1"/>
    <col min="5" max="5" width="8.16406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0</v>
      </c>
      <c r="K1" s="1" t="s">
        <v>1</v>
      </c>
      <c r="L1" s="1" t="s">
        <v>2</v>
      </c>
      <c r="M1" s="1" t="s">
        <v>3</v>
      </c>
    </row>
    <row r="2" spans="1:13" x14ac:dyDescent="0.3">
      <c r="A2" t="s">
        <v>25</v>
      </c>
      <c r="B2" s="1">
        <v>875.77</v>
      </c>
      <c r="C2" s="1">
        <v>1701.72</v>
      </c>
      <c r="D2" s="1">
        <v>3360.4</v>
      </c>
      <c r="E2" s="1">
        <v>6518.28</v>
      </c>
      <c r="F2" s="7">
        <f>B$2/B2</f>
        <v>1</v>
      </c>
      <c r="G2" s="7">
        <f t="shared" ref="G2:I2" si="0">C$2/C2</f>
        <v>1</v>
      </c>
      <c r="H2" s="7">
        <f t="shared" si="0"/>
        <v>1</v>
      </c>
      <c r="I2" s="7">
        <f t="shared" si="0"/>
        <v>1</v>
      </c>
      <c r="J2" t="s">
        <v>15</v>
      </c>
      <c r="K2" t="s">
        <v>15</v>
      </c>
      <c r="L2" t="s">
        <v>15</v>
      </c>
      <c r="M2" t="s">
        <v>15</v>
      </c>
    </row>
    <row r="3" spans="1:13" x14ac:dyDescent="0.3">
      <c r="A3" t="s">
        <v>26</v>
      </c>
      <c r="B3" s="1">
        <v>279.33999999999997</v>
      </c>
      <c r="C3" s="1">
        <v>533.44000000000005</v>
      </c>
      <c r="D3" s="1">
        <v>1036</v>
      </c>
      <c r="E3" s="1">
        <v>2047.67</v>
      </c>
      <c r="F3" s="7">
        <f t="shared" ref="F3:F6" si="1">B$2/B3</f>
        <v>3.1351399727930125</v>
      </c>
      <c r="G3" s="7">
        <f t="shared" ref="G3:G6" si="2">C$2/C3</f>
        <v>3.190086982603479</v>
      </c>
      <c r="H3" s="7">
        <f t="shared" ref="H3:H6" si="3">D$2/D3</f>
        <v>3.2436293436293435</v>
      </c>
      <c r="I3" s="7">
        <f t="shared" ref="I3:I6" si="4">E$2/E3</f>
        <v>3.1832668349880593</v>
      </c>
      <c r="J3" t="s">
        <v>16</v>
      </c>
      <c r="K3" t="s">
        <v>17</v>
      </c>
      <c r="L3" t="s">
        <v>17</v>
      </c>
      <c r="M3" t="s">
        <v>17</v>
      </c>
    </row>
    <row r="4" spans="1:13" x14ac:dyDescent="0.3">
      <c r="A4" t="s">
        <v>27</v>
      </c>
      <c r="B4" s="6">
        <v>159.52000000000001</v>
      </c>
      <c r="C4" s="6">
        <v>306.2</v>
      </c>
      <c r="D4" s="6">
        <v>576.86</v>
      </c>
      <c r="E4" s="6">
        <v>1120.3599999999999</v>
      </c>
      <c r="F4" s="7">
        <f t="shared" si="1"/>
        <v>5.4900325977933795</v>
      </c>
      <c r="G4" s="7">
        <f t="shared" si="2"/>
        <v>5.5575440888308298</v>
      </c>
      <c r="H4" s="7">
        <f t="shared" si="3"/>
        <v>5.8253302361058141</v>
      </c>
      <c r="I4" s="7">
        <f t="shared" si="4"/>
        <v>5.8180227783926597</v>
      </c>
      <c r="J4" t="s">
        <v>18</v>
      </c>
      <c r="K4" t="s">
        <v>19</v>
      </c>
      <c r="L4" t="s">
        <v>20</v>
      </c>
      <c r="M4" t="s">
        <v>20</v>
      </c>
    </row>
    <row r="5" spans="1:13" x14ac:dyDescent="0.3">
      <c r="A5" t="s">
        <v>28</v>
      </c>
      <c r="B5" s="1">
        <v>133.88999999999999</v>
      </c>
      <c r="C5" s="1">
        <v>254.08</v>
      </c>
      <c r="D5" s="1">
        <v>468.65</v>
      </c>
      <c r="E5" s="1">
        <v>858.6</v>
      </c>
      <c r="F5" s="7">
        <f t="shared" si="1"/>
        <v>6.5409664650085899</v>
      </c>
      <c r="G5" s="7">
        <f t="shared" si="2"/>
        <v>6.6975755667506292</v>
      </c>
      <c r="H5" s="7">
        <f t="shared" si="3"/>
        <v>7.1703830150432095</v>
      </c>
      <c r="I5" s="7">
        <f t="shared" si="4"/>
        <v>7.5917540181691123</v>
      </c>
      <c r="J5" t="s">
        <v>21</v>
      </c>
      <c r="K5" t="s">
        <v>22</v>
      </c>
      <c r="L5" t="s">
        <v>23</v>
      </c>
      <c r="M5" t="s">
        <v>24</v>
      </c>
    </row>
    <row r="6" spans="1:13" x14ac:dyDescent="0.3">
      <c r="A6" s="3" t="s">
        <v>5</v>
      </c>
      <c r="B6" s="4">
        <v>157.12</v>
      </c>
      <c r="C6" s="5">
        <v>301.68</v>
      </c>
      <c r="D6" s="5">
        <v>596.34</v>
      </c>
      <c r="E6" s="5">
        <v>1193.6400000000001</v>
      </c>
      <c r="F6" s="7">
        <f t="shared" si="1"/>
        <v>5.5738925661914456</v>
      </c>
      <c r="G6" s="7">
        <f t="shared" si="2"/>
        <v>5.6408114558472553</v>
      </c>
      <c r="H6" s="7">
        <f t="shared" si="3"/>
        <v>5.6350404131871077</v>
      </c>
      <c r="I6" s="7">
        <f t="shared" si="4"/>
        <v>5.4608424650648431</v>
      </c>
      <c r="J6" t="s">
        <v>19</v>
      </c>
      <c r="K6" t="s">
        <v>19</v>
      </c>
      <c r="L6" t="s">
        <v>19</v>
      </c>
      <c r="M6" t="s">
        <v>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原始测试数据</vt:lpstr>
      <vt:lpstr>对比1</vt:lpstr>
      <vt:lpstr>对比2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2022-04-14T08:04:46Z</dcterms:modified>
</cp:coreProperties>
</file>